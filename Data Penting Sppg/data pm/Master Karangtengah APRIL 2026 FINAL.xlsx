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hidePivotFieldList="1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wan10\Desktop\SPPI\Karangtengah\2026\April\"/>
    </mc:Choice>
  </mc:AlternateContent>
  <bookViews>
    <workbookView xWindow="0" yWindow="0" windowWidth="20490" windowHeight="7740" tabRatio="725" activeTab="1"/>
  </bookViews>
  <sheets>
    <sheet name="PIVOT FINAL" sheetId="11" r:id="rId1"/>
    <sheet name="PIVOT FINAL APRIL" sheetId="38" r:id="rId2"/>
    <sheet name="Edit SEKOLAH FINAL" sheetId="10" r:id="rId3"/>
    <sheet name="DATA B3" sheetId="39" r:id="rId4"/>
    <sheet name="List Dapur Karangtengah" sheetId="4" r:id="rId5"/>
  </sheets>
  <definedNames>
    <definedName name="_xlnm._FilterDatabase" localSheetId="2" hidden="1">'Edit SEKOLAH FINAL'!$A$1:$N$330</definedName>
    <definedName name="_xlnm._FilterDatabase" localSheetId="4" hidden="1">'List Dapur Karangtengah'!$A$1:$L$1</definedName>
  </definedNames>
  <calcPr calcId="162913"/>
  <pivotCaches>
    <pivotCache cacheId="80" r:id="rId6"/>
    <pivotCache cacheId="81" r:id="rId7"/>
  </pivotCaches>
</workbook>
</file>

<file path=xl/calcChain.xml><?xml version="1.0" encoding="utf-8"?>
<calcChain xmlns="http://schemas.openxmlformats.org/spreadsheetml/2006/main">
  <c r="E19" i="39" l="1"/>
  <c r="D19" i="39"/>
  <c r="C19" i="39"/>
  <c r="F18" i="39"/>
  <c r="F17" i="39"/>
  <c r="F16" i="39"/>
  <c r="F15" i="39"/>
  <c r="F14" i="39"/>
  <c r="F13" i="39"/>
  <c r="F12" i="39"/>
  <c r="F11" i="39"/>
  <c r="F10" i="39"/>
  <c r="F9" i="39"/>
  <c r="F8" i="39"/>
  <c r="F7" i="39"/>
  <c r="F6" i="39"/>
  <c r="F19" i="39" s="1"/>
  <c r="F5" i="39"/>
  <c r="F4" i="39"/>
  <c r="F3" i="39"/>
  <c r="O4" i="38" l="1"/>
  <c r="N4" i="38"/>
  <c r="M7" i="38"/>
  <c r="F20" i="11"/>
  <c r="F8" i="11"/>
  <c r="F22" i="11"/>
  <c r="F6" i="11"/>
  <c r="F18" i="11"/>
  <c r="F13" i="11"/>
  <c r="F21" i="11"/>
  <c r="F11" i="11"/>
  <c r="F5" i="11"/>
  <c r="F9" i="11"/>
  <c r="F24" i="11"/>
  <c r="F12" i="11"/>
  <c r="F15" i="11"/>
  <c r="F23" i="11"/>
  <c r="F16" i="11"/>
  <c r="F10" i="11"/>
  <c r="F19" i="11"/>
  <c r="F25" i="11"/>
  <c r="C29" i="11"/>
  <c r="F14" i="11"/>
  <c r="F17" i="11"/>
  <c r="F7" i="11"/>
  <c r="H15" i="38"/>
  <c r="H19" i="38"/>
  <c r="H24" i="38"/>
  <c r="H5" i="38"/>
  <c r="H21" i="38"/>
  <c r="H13" i="38"/>
  <c r="H26" i="38"/>
  <c r="H20" i="38"/>
  <c r="H27" i="38"/>
  <c r="H12" i="38"/>
  <c r="H6" i="38"/>
  <c r="H14" i="38"/>
  <c r="H17" i="38"/>
  <c r="H8" i="38"/>
  <c r="H16" i="38"/>
  <c r="H9" i="38"/>
  <c r="H4" i="38"/>
  <c r="H23" i="38"/>
  <c r="H28" i="38"/>
  <c r="H22" i="38"/>
  <c r="H25" i="38"/>
  <c r="H11" i="38"/>
  <c r="H18" i="38"/>
  <c r="H7" i="38"/>
  <c r="H10" i="38"/>
  <c r="I11" i="38" l="1"/>
  <c r="I24" i="38"/>
  <c r="I26" i="38"/>
  <c r="I7" i="38"/>
  <c r="I20" i="38"/>
  <c r="I22" i="38"/>
  <c r="I12" i="38"/>
  <c r="I13" i="38"/>
  <c r="I17" i="38"/>
  <c r="I16" i="38"/>
  <c r="I15" i="38"/>
  <c r="I18" i="38"/>
  <c r="I5" i="38"/>
  <c r="I6" i="38"/>
  <c r="I23" i="38"/>
  <c r="I9" i="38"/>
  <c r="I25" i="38"/>
  <c r="I19" i="38"/>
  <c r="I4" i="38"/>
  <c r="I8" i="38"/>
  <c r="I10" i="38"/>
  <c r="I28" i="38"/>
  <c r="I27" i="38"/>
  <c r="I21" i="38"/>
  <c r="I14" i="38"/>
  <c r="J5" i="11"/>
  <c r="J9" i="11"/>
  <c r="J13" i="11"/>
  <c r="J17" i="11"/>
  <c r="J21" i="11"/>
  <c r="J25" i="11"/>
  <c r="J6" i="11"/>
  <c r="J10" i="11"/>
  <c r="J14" i="11"/>
  <c r="J18" i="11"/>
  <c r="J22" i="11"/>
  <c r="J7" i="11"/>
  <c r="J11" i="11"/>
  <c r="J15" i="11"/>
  <c r="J19" i="11"/>
  <c r="J23" i="11"/>
  <c r="J8" i="11"/>
  <c r="J12" i="11"/>
  <c r="J16" i="11"/>
  <c r="J20" i="11"/>
  <c r="J24" i="11"/>
  <c r="J26" i="11" l="1"/>
</calcChain>
</file>

<file path=xl/sharedStrings.xml><?xml version="1.0" encoding="utf-8"?>
<sst xmlns="http://schemas.openxmlformats.org/spreadsheetml/2006/main" count="2686" uniqueCount="532">
  <si>
    <t>No</t>
  </si>
  <si>
    <t>Nama Sekolah</t>
  </si>
  <si>
    <t>NPSN</t>
  </si>
  <si>
    <t>BP</t>
  </si>
  <si>
    <t>Status</t>
  </si>
  <si>
    <t>PD</t>
  </si>
  <si>
    <t>TK  HARAPAN BUNDA</t>
  </si>
  <si>
    <t>TK</t>
  </si>
  <si>
    <t>Swasta</t>
  </si>
  <si>
    <t>TK  PELITA HATI</t>
  </si>
  <si>
    <t>TK AL IHSAN</t>
  </si>
  <si>
    <t>TK AL LAWIYYIN</t>
  </si>
  <si>
    <t>TK AL-FAIDAH</t>
  </si>
  <si>
    <t>TK AL-IKHLAS ASSHIDIQIYYAH</t>
  </si>
  <si>
    <t>TK AL-MUJAHADAH</t>
  </si>
  <si>
    <t>TK AN NASHIR ISLAMIC KINDERGARTEN</t>
  </si>
  <si>
    <t>TK ANGGREK BULAN</t>
  </si>
  <si>
    <t>TK ASMA NADIA</t>
  </si>
  <si>
    <t>TK BAITUL AMANAH</t>
  </si>
  <si>
    <t>TK BINTANG KECIL</t>
  </si>
  <si>
    <t>TK BUNGA PERSADA</t>
  </si>
  <si>
    <t>TK ISLAM AL-MADINAH</t>
  </si>
  <si>
    <t>TK IT AL-FATIH</t>
  </si>
  <si>
    <t>TK IT ANNISA</t>
  </si>
  <si>
    <t>TK IT DAAR EL MUMTAAZ CIANJUR</t>
  </si>
  <si>
    <t>TK IT TAHFIDZ AL-MANSUR</t>
  </si>
  <si>
    <t>TK KARTIKA XIX-5</t>
  </si>
  <si>
    <t>TK MIFTAHUL GINA</t>
  </si>
  <si>
    <t>TK MIFTAHUL HUDA</t>
  </si>
  <si>
    <t>TK MUTIARA ILMU</t>
  </si>
  <si>
    <t>TK MUTIARA QOLBU</t>
  </si>
  <si>
    <t>TK NUR SYAMSI</t>
  </si>
  <si>
    <t>TK NURUL FALAH</t>
  </si>
  <si>
    <t>TK NURUL WATHAN</t>
  </si>
  <si>
    <t>TK NURUSSHIBYAN</t>
  </si>
  <si>
    <t>TK PGRI 1 KARANGTENGAH</t>
  </si>
  <si>
    <t>TK PGRI 2 KARANGTENGAH</t>
  </si>
  <si>
    <t>TK PUTRA PUTRI INDONESIA (P21)</t>
  </si>
  <si>
    <t>TK SAHABAT</t>
  </si>
  <si>
    <t>TK TUNAS HARAPAN</t>
  </si>
  <si>
    <t>TKIT MAHARANI PUTRI</t>
  </si>
  <si>
    <t>KB AL-BAROOHIIN</t>
  </si>
  <si>
    <t>KB</t>
  </si>
  <si>
    <t>KB AL-FAIDAH</t>
  </si>
  <si>
    <t>KB AL-HAMIDIN</t>
  </si>
  <si>
    <t>KB AL-HUDA</t>
  </si>
  <si>
    <t>KB AL-MUJAHADAH</t>
  </si>
  <si>
    <t>KB ANGGREK</t>
  </si>
  <si>
    <t>KB ANNAHDOH</t>
  </si>
  <si>
    <t>KB AS SADIKIN</t>
  </si>
  <si>
    <t>KB ASRORUL HUKAMA</t>
  </si>
  <si>
    <t>KB ASSIFA</t>
  </si>
  <si>
    <t>KB AT-TANWIIR</t>
  </si>
  <si>
    <t>KB AT-TAUFIQ AL-ISTIQLAAL</t>
  </si>
  <si>
    <t>KB AZ-ZAHRA</t>
  </si>
  <si>
    <t>KB CENDRAWASIH</t>
  </si>
  <si>
    <t>KB FALAHUL MUBTADIIN</t>
  </si>
  <si>
    <t>KB MAWAR YONIF 300 / RAIDER</t>
  </si>
  <si>
    <t>KB MUCHTAR AL-FATIH</t>
  </si>
  <si>
    <t>KB RUMSITI</t>
  </si>
  <si>
    <t>KB TARBIYYATUL FALAH</t>
  </si>
  <si>
    <t>KB TARBIYYATUS SHIBYAN</t>
  </si>
  <si>
    <t>KB. AL-MAWA</t>
  </si>
  <si>
    <t>KB. AL-MIZAN</t>
  </si>
  <si>
    <t>KB. ALHIDAYAH</t>
  </si>
  <si>
    <t>KB. NURUL ISLAM</t>
  </si>
  <si>
    <t>KB. NURUL ROHMAH</t>
  </si>
  <si>
    <t>KB. PERKUTUT</t>
  </si>
  <si>
    <t>PAUD  AL-HIDAYAH</t>
  </si>
  <si>
    <t>PAUD AL IHYA</t>
  </si>
  <si>
    <t>PAUD AN-NADWAH</t>
  </si>
  <si>
    <t>PAUD ASYFA SEROJA</t>
  </si>
  <si>
    <t>PAUD BASMALAH HAMDALAH</t>
  </si>
  <si>
    <t>PAUD CIIMBANGSARI</t>
  </si>
  <si>
    <t>PAUD DAARUT TAQWA ASYAMSURIYYAH</t>
  </si>
  <si>
    <t>PAUD DARUL HUDA</t>
  </si>
  <si>
    <t>PAUD DZUANNUR</t>
  </si>
  <si>
    <t>PAUD KASIH IBU</t>
  </si>
  <si>
    <t>PAUD MIFTAHUL HUDA SADEWATA</t>
  </si>
  <si>
    <t>PAUD MIFTAHUL JANNAH</t>
  </si>
  <si>
    <t>PAUD MIFTAHUL ULUM</t>
  </si>
  <si>
    <t>PAUD NURUL IKHLAS</t>
  </si>
  <si>
    <t>PAUD SYAHIDAN</t>
  </si>
  <si>
    <t>PAUD MELATI</t>
  </si>
  <si>
    <t>SPS</t>
  </si>
  <si>
    <t>PAUD AL HIDAYAH</t>
  </si>
  <si>
    <t>PAUD AL-IKHLAS</t>
  </si>
  <si>
    <t>PAUD ASTER</t>
  </si>
  <si>
    <t>PAUD CEMPAKA</t>
  </si>
  <si>
    <t>PAUD DAHLIA</t>
  </si>
  <si>
    <t>PAUD MIFTAHUL MA ARIF</t>
  </si>
  <si>
    <t>PAUD NURUL HIKMAH</t>
  </si>
  <si>
    <t>PAUD TERATAI</t>
  </si>
  <si>
    <t>POS PAUD ALMARWIYAH</t>
  </si>
  <si>
    <t>POS PAUD AN-NURONIYYAH</t>
  </si>
  <si>
    <t>SPS SERUNI</t>
  </si>
  <si>
    <t>SPS SIROJUL ATHFAL</t>
  </si>
  <si>
    <t>SD NEGERI BABAKAN CARINGIN 1</t>
  </si>
  <si>
    <t>SD</t>
  </si>
  <si>
    <t>Negeri</t>
  </si>
  <si>
    <t>SD NEGERI BABAKAN CARINGIN 2</t>
  </si>
  <si>
    <t>SD NEGERI BABAKAN CARINGIN 3</t>
  </si>
  <si>
    <t>SD NEGERI BAROS</t>
  </si>
  <si>
    <t>SD NEGERI BOJONG 1</t>
  </si>
  <si>
    <t>SD NEGERI BOJONG 2</t>
  </si>
  <si>
    <t>SD NEGERI BOJONG 3</t>
  </si>
  <si>
    <t>SD NEGERI BOJONG 4</t>
  </si>
  <si>
    <t>SD NEGERI BOJONG 5</t>
  </si>
  <si>
    <t>SD NEGERI CIHERANGKENCANA</t>
  </si>
  <si>
    <t>SD NEGERI CIJELER</t>
  </si>
  <si>
    <t>SD NEGERI CIKANGKUNG</t>
  </si>
  <si>
    <t>SD NEGERI CIKOLOTOK</t>
  </si>
  <si>
    <t>SD NEGERI CINTARESMI</t>
  </si>
  <si>
    <t>SD NEGERI CIPADASUKA</t>
  </si>
  <si>
    <t>SD NEGERI CITALANG</t>
  </si>
  <si>
    <t>SD NEGERI CIWARU</t>
  </si>
  <si>
    <t>SD NEGERI GADUNG</t>
  </si>
  <si>
    <t>SD NEGERI HEGARMANAH</t>
  </si>
  <si>
    <t>SD NEGERI KARANGTENGAH</t>
  </si>
  <si>
    <t>SD NEGERI KEBONPALA</t>
  </si>
  <si>
    <t>SD NEGERI KOPO</t>
  </si>
  <si>
    <t>SD NEGERI LIO 1</t>
  </si>
  <si>
    <t>SD NEGERI LIO 2</t>
  </si>
  <si>
    <t>SD NEGERI MALEBER 1</t>
  </si>
  <si>
    <t>SD NEGERI MALEBER 3</t>
  </si>
  <si>
    <t>SD NEGERI MALEBER 4</t>
  </si>
  <si>
    <t>SD NEGERI MARGALUYU 2</t>
  </si>
  <si>
    <t>SD NEGERI PERUMNAS 1</t>
  </si>
  <si>
    <t>SD NEGERI PERUMNAS 2</t>
  </si>
  <si>
    <t>SD NEGERI SABANDAR</t>
  </si>
  <si>
    <t>SD NEGERI SINDANGASIH</t>
  </si>
  <si>
    <t>SD NEGERI SUKAMANAH 3</t>
  </si>
  <si>
    <t>SD NEGERI SUKAMANTRI 1</t>
  </si>
  <si>
    <t>SD NEGERI SUKAMANTRI 2</t>
  </si>
  <si>
    <t>SD NEGERI SUKAMANTRI 3</t>
  </si>
  <si>
    <t>SD NEGERI SUKASARI 1</t>
  </si>
  <si>
    <t>SD NEGERI SUKASARI 2</t>
  </si>
  <si>
    <t>SD NEGERI SUKASARI 3</t>
  </si>
  <si>
    <t>SD NEGERI SUKASARI 4</t>
  </si>
  <si>
    <t>SD NEGERI SUKATARIS</t>
  </si>
  <si>
    <t>SD AL QURAN DAN SAINS UMI KULTSUM RS</t>
  </si>
  <si>
    <t>SD AN NASHIR ISLAMIC PRIMARY SCHOOL</t>
  </si>
  <si>
    <t>SD AT-THOBI IYYAH</t>
  </si>
  <si>
    <t>SD BUNGA PERSADA</t>
  </si>
  <si>
    <t>SD GLOBAL ISLAMIC SCHOOL AL-MOCHTAR</t>
  </si>
  <si>
    <t>SD INNOVATIVE SCHOOL CIANJUR</t>
  </si>
  <si>
    <t>SD ISLAM BAITUL IHSAN</t>
  </si>
  <si>
    <t>SD ISLAM CENDEKIA CIANJUR</t>
  </si>
  <si>
    <t>SD IT AL-MUMTAAZ</t>
  </si>
  <si>
    <t>SDS KARAKTER AL-ADZKIYA</t>
  </si>
  <si>
    <t>SMP NEGERI 1 KARANGTENGAH</t>
  </si>
  <si>
    <t>SMP</t>
  </si>
  <si>
    <t>SMP NEGERI 2 KARANGTENGAH</t>
  </si>
  <si>
    <t>SMP NEGERI 3 KARANGTENGAH</t>
  </si>
  <si>
    <t>SMP NEGERI 4 KARANGTENGAH</t>
  </si>
  <si>
    <t>SMP AL-MAMOEN</t>
  </si>
  <si>
    <t>SMP BAITUL ULUM BOARDING SCHOOL</t>
  </si>
  <si>
    <t>SMP BUNGA PERSADA CIANJUR</t>
  </si>
  <si>
    <t>SMP FANSAFATTAH RAHMANIYAH</t>
  </si>
  <si>
    <t>SMP I ISLAMIYAH KOPO KARANGTENGAH</t>
  </si>
  <si>
    <t>SMP INNOVATIVE SCHOOL CIANJUR</t>
  </si>
  <si>
    <t>SMP ISLAM CENDEKIA</t>
  </si>
  <si>
    <t>SMP ISLAM MITRA AL KHAIDIR BOARDING SCHOOL</t>
  </si>
  <si>
    <t>SMP ISLAM NURUL HIKMAH</t>
  </si>
  <si>
    <t>SMP ISLAM QUBA</t>
  </si>
  <si>
    <t>SMP ISLAM SULAIMANIYYAH</t>
  </si>
  <si>
    <t>SMP IT DAAR EL MUMTAAZ</t>
  </si>
  <si>
    <t>SMP IT DAARUL MUTTAQIN</t>
  </si>
  <si>
    <t>SMP IT DAARUTTAQWA ASYAMSURIYYAH</t>
  </si>
  <si>
    <t>SMP IT IZZUL ISLAM</t>
  </si>
  <si>
    <t>SMP IT MANDIRI BERSEMI</t>
  </si>
  <si>
    <t>SMP IT NAJMULQURA</t>
  </si>
  <si>
    <t>SMP IT SYAMSUL HUDA</t>
  </si>
  <si>
    <t>SMP PGRI KARANGTENGAH</t>
  </si>
  <si>
    <t>SMP PLUS AT-TANWIIR</t>
  </si>
  <si>
    <t>SMP PLUS GENQU CIANJUR</t>
  </si>
  <si>
    <t>SMP TAHFIDZ AL-MUCHTARIAH</t>
  </si>
  <si>
    <t>SMPS ISLAM TERPADU AL-MADINAH</t>
  </si>
  <si>
    <t>SMPS IT AL-AMIN</t>
  </si>
  <si>
    <t>SMAN 1 KARANG TENGAH</t>
  </si>
  <si>
    <t>SMA</t>
  </si>
  <si>
    <t>SMA AL MA MOEN</t>
  </si>
  <si>
    <t>SMA ISLAM AL-ISTIQOMAH</t>
  </si>
  <si>
    <t>SMA ISLAM TERPADU AL-AMIN</t>
  </si>
  <si>
    <t>SMA MANARULHUDA</t>
  </si>
  <si>
    <t>SMA PESANTREN UNGGUL AL BAYAN CENDEKIA</t>
  </si>
  <si>
    <t>SMAS AL ITTIHAD CIANJUR</t>
  </si>
  <si>
    <t>SMAS PASUNDAN 1 CIANJUR</t>
  </si>
  <si>
    <t>SMK NEGERI 1 KARANGTENGAH</t>
  </si>
  <si>
    <t>SMK</t>
  </si>
  <si>
    <t>SMK AL MADINAH MADANIA</t>
  </si>
  <si>
    <t>SMK AL-IKHWAN</t>
  </si>
  <si>
    <t>SMK AL-MUNAWWARAH</t>
  </si>
  <si>
    <t>SMK DARUL MUTTAQIN CIANJUR</t>
  </si>
  <si>
    <t>SMK ISLAM TERPADU IZZUL ISLAM</t>
  </si>
  <si>
    <t>SMK KESEHATAN BHAKTI MEDIKA CIANJUR</t>
  </si>
  <si>
    <t>SMK MITRA INSAN</t>
  </si>
  <si>
    <t>SMK PERMATA INSAN</t>
  </si>
  <si>
    <t>SMK PLUS INSAN ANDALAN CIANJUR</t>
  </si>
  <si>
    <t>SMKS AL ITTIHAD</t>
  </si>
  <si>
    <t>SMKS BINA BANGSA PERTIWI</t>
  </si>
  <si>
    <t>SMKS BUNGA PERSADA CIANJUR</t>
  </si>
  <si>
    <t>SMKS MANDIRI BERSEMI</t>
  </si>
  <si>
    <t>SMKS PASUNDAN 2 CIANJUR</t>
  </si>
  <si>
    <t>SMKS PASUNDAN CIANJUR</t>
  </si>
  <si>
    <t>SMKS TARUNA BHAKTI CIANJUR</t>
  </si>
  <si>
    <t>PKBM AL NUR RAHMAH</t>
  </si>
  <si>
    <t>P9998362</t>
  </si>
  <si>
    <t>PKBM</t>
  </si>
  <si>
    <t>PKBM AL-ADZKIYA</t>
  </si>
  <si>
    <t>P9952437</t>
  </si>
  <si>
    <t>PKBM AL-APPANDI</t>
  </si>
  <si>
    <t>P2962897</t>
  </si>
  <si>
    <t>PKBM AL-FAIDAH</t>
  </si>
  <si>
    <t>P2962917</t>
  </si>
  <si>
    <t>PKBM AN-NURONIYYAH</t>
  </si>
  <si>
    <t>P9974044</t>
  </si>
  <si>
    <t>PKBM ASRI PARADISTA</t>
  </si>
  <si>
    <t>P9984806</t>
  </si>
  <si>
    <t>PKBM ASSAADAH AL-ISLAMI</t>
  </si>
  <si>
    <t>P9998889</t>
  </si>
  <si>
    <t>PKBM BUNDA RATU</t>
  </si>
  <si>
    <t>P9996373</t>
  </si>
  <si>
    <t>PKBM CIIMBANGSARI</t>
  </si>
  <si>
    <t>P2962918</t>
  </si>
  <si>
    <t>PKBM DARUL HUDA</t>
  </si>
  <si>
    <t>P9996875</t>
  </si>
  <si>
    <t>PKBM FADELL LABIBA</t>
  </si>
  <si>
    <t>P9998076</t>
  </si>
  <si>
    <t>PKBM GENERASI ULUL ALBAB</t>
  </si>
  <si>
    <t>P9997801</t>
  </si>
  <si>
    <t>PKBM MANDIRI BERSEMI</t>
  </si>
  <si>
    <t>P2962919</t>
  </si>
  <si>
    <t>PKBM NURUL FATA</t>
  </si>
  <si>
    <t>P9952537</t>
  </si>
  <si>
    <t>PKBM SAPUTRA JAYA</t>
  </si>
  <si>
    <t>P9998723</t>
  </si>
  <si>
    <t>SLB ABC BINA BANGSA</t>
  </si>
  <si>
    <t>SLB</t>
  </si>
  <si>
    <t>PAUD HJ. HAMIDAH</t>
  </si>
  <si>
    <t>SD NEGERI CIMALATI</t>
  </si>
  <si>
    <t>SD NEGERI LANGENSARI</t>
  </si>
  <si>
    <t>SD NEGERI MARGALUYU 1</t>
  </si>
  <si>
    <t>SD NEGERI MEKARJAYA</t>
  </si>
  <si>
    <t>SD NEGERI SINDANGJAYA</t>
  </si>
  <si>
    <t>SD NEGERI SINDANGLAKA</t>
  </si>
  <si>
    <t>SD NEGERI SINDANGSARI</t>
  </si>
  <si>
    <t>SD NEGERI SUKAJADI</t>
  </si>
  <si>
    <t>SD NEGERI SUKAMAJU</t>
  </si>
  <si>
    <t>SD NEGERI SUKAMANAH 1</t>
  </si>
  <si>
    <t>SD NEGERI SUKAMULYA</t>
  </si>
  <si>
    <t>SD NEGERI SUKASARANA</t>
  </si>
  <si>
    <t>SD NEGERI SUKASIRNA</t>
  </si>
  <si>
    <t>SD NEGERI TIPAR</t>
  </si>
  <si>
    <t>SMP PLUS AL-ITTIHAD</t>
  </si>
  <si>
    <t>SMA AL MUMTAAZ</t>
  </si>
  <si>
    <t>SMA IT DAARUT TAQWA ASYAMSURIYYAH</t>
  </si>
  <si>
    <t>Data Real PD</t>
  </si>
  <si>
    <t>Dapur</t>
  </si>
  <si>
    <t>Distribusi</t>
  </si>
  <si>
    <t>SPPG Cianjur Karangtengah Bojong</t>
  </si>
  <si>
    <t>SPPG Cianjur Karangtengah Bojong 2</t>
  </si>
  <si>
    <t>SPPG Cianjur Karangtengah Bojong 3</t>
  </si>
  <si>
    <t>Nama SPPG</t>
  </si>
  <si>
    <t>SPPG Cianjur Karangtengah Bojong 4</t>
  </si>
  <si>
    <t>No. HP</t>
  </si>
  <si>
    <t>Alfan Abdul Kholik</t>
  </si>
  <si>
    <t>`0895605118905</t>
  </si>
  <si>
    <t>Ilham Solehudin</t>
  </si>
  <si>
    <t>`089649858820</t>
  </si>
  <si>
    <t>Abdullah Rifqi</t>
  </si>
  <si>
    <t>`089530990222</t>
  </si>
  <si>
    <t>Muiz Akmal Hakim</t>
  </si>
  <si>
    <t>`085722285918</t>
  </si>
  <si>
    <t>SPPG Cianjur Karangtengah Ciherang</t>
  </si>
  <si>
    <t>SPPG Cianjur Karangtengah Langensari</t>
  </si>
  <si>
    <t>SPPG Cianjur Karangtengah Meleber</t>
  </si>
  <si>
    <t>SPPG Cianjur Karangtengah Sabandar 2</t>
  </si>
  <si>
    <t>SPPG Cianjur Karangtengah Sukajadi</t>
  </si>
  <si>
    <t>SPPG Cianjur Karangtengah Hegarmanah 2</t>
  </si>
  <si>
    <t>SPPG Cianjur Karangtengah Hegarmanah 3</t>
  </si>
  <si>
    <t>SPPG Cianjur Karangtengah Hegarmanah 1</t>
  </si>
  <si>
    <t>SPPG Cianjur Karangtengah Sindanglaka 2</t>
  </si>
  <si>
    <t>SPPG Cianjur Karangtengah Sindanglaka 1</t>
  </si>
  <si>
    <t>SPPG Cianjur Karangtengah Sindanglaka 4</t>
  </si>
  <si>
    <t>SPPG Cianjur Karangtengah Sindanglaka 3</t>
  </si>
  <si>
    <t>SPPG Cianjur Karangtengah Sukamantri</t>
  </si>
  <si>
    <t>SPPG Cianjur Karangtengah Sukataris</t>
  </si>
  <si>
    <t>Afrizal Rudiansyah</t>
  </si>
  <si>
    <t>Muhammad Ridwan</t>
  </si>
  <si>
    <t>Qori Siti Syarifah</t>
  </si>
  <si>
    <t>Ahmad Sahira Zandi</t>
  </si>
  <si>
    <t>Alif Lazuardi</t>
  </si>
  <si>
    <t>Wahyu Nurjaman</t>
  </si>
  <si>
    <t>Febri Ilham Ramadhan</t>
  </si>
  <si>
    <t>Gimas Arwie</t>
  </si>
  <si>
    <t>M. Mirfad Lutfiana</t>
  </si>
  <si>
    <t>Teguh Gilang Ramadhan</t>
  </si>
  <si>
    <t>Agus Rizal Maulidi</t>
  </si>
  <si>
    <t>Muhammad Fikri Nurwan Hakiki</t>
  </si>
  <si>
    <t>Rizki Maulana Yusup</t>
  </si>
  <si>
    <t>`083112741871</t>
  </si>
  <si>
    <t>`085797987371</t>
  </si>
  <si>
    <t>`081220087651</t>
  </si>
  <si>
    <t>`082129766874</t>
  </si>
  <si>
    <t>`085722791620</t>
  </si>
  <si>
    <t>`081324534436</t>
  </si>
  <si>
    <t>`089636504947</t>
  </si>
  <si>
    <t>`082117769062</t>
  </si>
  <si>
    <t>`089502479199</t>
  </si>
  <si>
    <t>`085600447534</t>
  </si>
  <si>
    <t>`081222201945</t>
  </si>
  <si>
    <t>`083817041328</t>
  </si>
  <si>
    <t>`085158614480</t>
  </si>
  <si>
    <t>`082133861432</t>
  </si>
  <si>
    <t>No.</t>
  </si>
  <si>
    <t>Running</t>
  </si>
  <si>
    <t>RA AISYIYAH II</t>
  </si>
  <si>
    <t>RA AL-HIDAYAH</t>
  </si>
  <si>
    <t>RA AL-ITTIHAD</t>
  </si>
  <si>
    <t>BOJONG</t>
  </si>
  <si>
    <t>RA AL-KHODIJAH AMA WAAS</t>
  </si>
  <si>
    <t>RA AL-MUHAJIRIN</t>
  </si>
  <si>
    <t>RA AL-MUNAWWARAH</t>
  </si>
  <si>
    <t>RA AMARA</t>
  </si>
  <si>
    <t>RA AR-ROHMAN</t>
  </si>
  <si>
    <t>RA AS-SAKINAH</t>
  </si>
  <si>
    <t>RA AT-TAQWA</t>
  </si>
  <si>
    <t>RA BINA INSANI</t>
  </si>
  <si>
    <t>RA DARURROHMAN</t>
  </si>
  <si>
    <t>RA AL-ISTIQOMAH</t>
  </si>
  <si>
    <t>RA NURANI ANAK BANGSA</t>
  </si>
  <si>
    <t>RA NURUL IMAN</t>
  </si>
  <si>
    <t>RA PERWANIDA</t>
  </si>
  <si>
    <t>RA RIYADUSSHALIHIN</t>
  </si>
  <si>
    <t>RA SEJAHTERA MANARUL HUDA</t>
  </si>
  <si>
    <t>RA SUKATARIS</t>
  </si>
  <si>
    <t>RA TANWIRIYYAH</t>
  </si>
  <si>
    <t>RA AL-MUMTAZ</t>
  </si>
  <si>
    <t>RA INSAN AMANAH</t>
  </si>
  <si>
    <t>RA RAUDLATUL IRFAN</t>
  </si>
  <si>
    <t>RA YAPISNA</t>
  </si>
  <si>
    <t>RA AL-ADZKIYA 01</t>
  </si>
  <si>
    <t>RA ASSASUL ISLAM</t>
  </si>
  <si>
    <t>RA AL-IKHWAN</t>
  </si>
  <si>
    <t>RA MIFTAHUL HUDA AL-FURQON</t>
  </si>
  <si>
    <t>RA HAUNA</t>
  </si>
  <si>
    <t>RA MANARUL ABROR</t>
  </si>
  <si>
    <t>RA NURUL IKHLAS</t>
  </si>
  <si>
    <t>SABANDAR</t>
  </si>
  <si>
    <t>Bojong 4</t>
  </si>
  <si>
    <t>RA AL MUFTI</t>
  </si>
  <si>
    <t>MIN 1 CIANJUR</t>
  </si>
  <si>
    <t>MIS AL-KHOERIYYAH</t>
  </si>
  <si>
    <t>MIS AL-MUNAWWARAH</t>
  </si>
  <si>
    <t>MIS ASSAADAH</t>
  </si>
  <si>
    <t>MIS ASSASUL ISLAM</t>
  </si>
  <si>
    <t>MIS ATS-TSUUR</t>
  </si>
  <si>
    <t>MIS AT-TANBIH</t>
  </si>
  <si>
    <t>MIS ISLAMIYAH KOPO</t>
  </si>
  <si>
    <t>MIS MANARUL HUDA</t>
  </si>
  <si>
    <t>MIS RAUDLATUL IRFAN</t>
  </si>
  <si>
    <t>MIS RAUDLATUSSIBYAN</t>
  </si>
  <si>
    <t>MIS TANWIRIYYAH</t>
  </si>
  <si>
    <t>MIS AL-MADINAH</t>
  </si>
  <si>
    <t>MTSS ATS-TSUUR</t>
  </si>
  <si>
    <t>MTSS MANARUL HUDA</t>
  </si>
  <si>
    <t>MTSS TANWIRIYYAH</t>
  </si>
  <si>
    <t>MTSS INSAN AMANAH</t>
  </si>
  <si>
    <t>MTSS RAUDLATUL IRFAN</t>
  </si>
  <si>
    <t>MTSS SA AL-ISTIQOMAH</t>
  </si>
  <si>
    <t>MTSS AL-IKHWAN</t>
  </si>
  <si>
    <t>MTSS AL JAYANI</t>
  </si>
  <si>
    <t>MTSS YASPINA</t>
  </si>
  <si>
    <t>MTSS AL-KARIMAH</t>
  </si>
  <si>
    <t>MAS TANWIRIYYAH</t>
  </si>
  <si>
    <t>MAS YAPISNA</t>
  </si>
  <si>
    <t>MAS AL-MADINAH</t>
  </si>
  <si>
    <t>MAS MITRA AL KHAIDIR BOARDING SCHOOL</t>
  </si>
  <si>
    <t>MAS AL MUSTOFAWIYAH</t>
  </si>
  <si>
    <t>RA</t>
  </si>
  <si>
    <t>MIN</t>
  </si>
  <si>
    <t>MIS</t>
  </si>
  <si>
    <t>MTSS</t>
  </si>
  <si>
    <t>MAS</t>
  </si>
  <si>
    <t>DESA</t>
  </si>
  <si>
    <t>Karangtengah</t>
  </si>
  <si>
    <t>SPPG Cianjur Karangtengah Sindangasih</t>
  </si>
  <si>
    <t>Santi</t>
  </si>
  <si>
    <t>MUHAMMAD RIFKY PRATAMA</t>
  </si>
  <si>
    <t>`085797303811</t>
  </si>
  <si>
    <t>Bojong</t>
  </si>
  <si>
    <t>Bojong 2</t>
  </si>
  <si>
    <t>Bojong 3</t>
  </si>
  <si>
    <t>Ciherang</t>
  </si>
  <si>
    <t>Hegarmanah 1</t>
  </si>
  <si>
    <t>Hegarmanah 2</t>
  </si>
  <si>
    <t>Hegarmanah 3</t>
  </si>
  <si>
    <t>Langensari</t>
  </si>
  <si>
    <t>Meleber</t>
  </si>
  <si>
    <t>Sabandar 2</t>
  </si>
  <si>
    <t>Sindangasih</t>
  </si>
  <si>
    <t>Sindanglaka 1</t>
  </si>
  <si>
    <t>Sindanglaka 2</t>
  </si>
  <si>
    <t>Sindanglaka 3</t>
  </si>
  <si>
    <t>Sindanglaka 4</t>
  </si>
  <si>
    <t>Sukajadi</t>
  </si>
  <si>
    <t>Sukamantri</t>
  </si>
  <si>
    <t>Sukataris</t>
  </si>
  <si>
    <t>Kelompok</t>
  </si>
  <si>
    <t>Harian</t>
  </si>
  <si>
    <t>Done</t>
  </si>
  <si>
    <t>TENDIK</t>
  </si>
  <si>
    <t>KECAMATAN</t>
  </si>
  <si>
    <t>SUKATARIS</t>
  </si>
  <si>
    <t>MALEBER</t>
  </si>
  <si>
    <t>BABAKANCARINGIN</t>
  </si>
  <si>
    <t>SUKAJADI</t>
  </si>
  <si>
    <t>SUKAMANTRI</t>
  </si>
  <si>
    <t>HEGARMANAH</t>
  </si>
  <si>
    <t>SUKAMANAH</t>
  </si>
  <si>
    <t>CIHERANG</t>
  </si>
  <si>
    <t>SINDANGLAKA</t>
  </si>
  <si>
    <t>SUKASARANA</t>
  </si>
  <si>
    <t>SINDANGASIH</t>
  </si>
  <si>
    <t>LANGENSARI</t>
  </si>
  <si>
    <t>SUKAMULYA</t>
  </si>
  <si>
    <t>SUKASARI</t>
  </si>
  <si>
    <t>Row Labels</t>
  </si>
  <si>
    <t>Grand Total</t>
  </si>
  <si>
    <t>Count of Nama Sekolah</t>
  </si>
  <si>
    <t>HEGARMANAH 2</t>
  </si>
  <si>
    <t>SMK PELITA</t>
  </si>
  <si>
    <t>Sum of Total Penerima</t>
  </si>
  <si>
    <t>BOJONG 2</t>
  </si>
  <si>
    <t>BOJONG 3</t>
  </si>
  <si>
    <t>SLHS</t>
  </si>
  <si>
    <t>BPJS</t>
  </si>
  <si>
    <t>alias</t>
  </si>
  <si>
    <t>BOJONG 1</t>
  </si>
  <si>
    <t>HEGARMANAH 1</t>
  </si>
  <si>
    <t>CIHERANG 1</t>
  </si>
  <si>
    <t>BOJONG 4</t>
  </si>
  <si>
    <t>HEGARMANAH 3</t>
  </si>
  <si>
    <t>SMA IT NAJMULQURRO</t>
  </si>
  <si>
    <t>Bebas Merdeka Comunity</t>
  </si>
  <si>
    <t>SMA ISLAM SULAIMANIYYAH</t>
  </si>
  <si>
    <t>AL-FITROH</t>
  </si>
  <si>
    <t>AL-MANSHUR</t>
  </si>
  <si>
    <t>MA YASPINA</t>
  </si>
  <si>
    <t>PAUD MAWAR</t>
  </si>
  <si>
    <t>DARUL QIRO`AH ALJULAENIAH</t>
  </si>
  <si>
    <t>Miftahul Huda Utsmaniyyah IX</t>
  </si>
  <si>
    <t>PAUD AT-TAUFIQ</t>
  </si>
  <si>
    <t>RA/BA/TA AL-HIDAYAH</t>
  </si>
  <si>
    <t>BINA CERDAS NANGEWER</t>
  </si>
  <si>
    <t>BINA CERDAS</t>
  </si>
  <si>
    <t>TKA NURUSSIBYAN</t>
  </si>
  <si>
    <t>NURUL HIKMAH</t>
  </si>
  <si>
    <t>AN NURUL BAROKAH</t>
  </si>
  <si>
    <t>SABANDAR 2</t>
  </si>
  <si>
    <t>SINDANGLAKA 3</t>
  </si>
  <si>
    <t>SINDANGLAKA 2</t>
  </si>
  <si>
    <t>DARUTAUHID</t>
  </si>
  <si>
    <t>CIHERANG 2</t>
  </si>
  <si>
    <t>BOJONG 5</t>
  </si>
  <si>
    <t>MTS RAUDHATUL IRFAN</t>
  </si>
  <si>
    <t>TKQ RIADUL HUDA</t>
  </si>
  <si>
    <t>SINDANGLAKA 1</t>
  </si>
  <si>
    <t>SINDANGLAKA 4</t>
  </si>
  <si>
    <t>PAUD DARUL FIKAR</t>
  </si>
  <si>
    <t>DARUL HUDA</t>
  </si>
  <si>
    <t>SMP DARUL HUDA</t>
  </si>
  <si>
    <t>PAUD CAMPAKA</t>
  </si>
  <si>
    <t>PONPES IZZUL ISLAM</t>
  </si>
  <si>
    <t>PAUDQU Assa`adah</t>
  </si>
  <si>
    <t>PAUD KENANGA</t>
  </si>
  <si>
    <t>UMMI AL-RASYID</t>
  </si>
  <si>
    <t>RA AL - KHAWARIZMI AN NUR</t>
  </si>
  <si>
    <t>RA PERSIS NO 380 Al-ittihad</t>
  </si>
  <si>
    <t>TK TRI DHARMA KOSGORO</t>
  </si>
  <si>
    <t>TKQ NURANI ANAK BANGSA</t>
  </si>
  <si>
    <t>RA Persis Baiturrahim</t>
  </si>
  <si>
    <t>SD Islam Al-Maad</t>
  </si>
  <si>
    <t>TK Al-Maad</t>
  </si>
  <si>
    <t>TK Miftahul Huda</t>
  </si>
  <si>
    <t>TK LESQ CERIA SAMOLA</t>
  </si>
  <si>
    <t>KEC CIANJUR</t>
  </si>
  <si>
    <t>(blank)</t>
  </si>
  <si>
    <t>Sum of Data Real PD</t>
  </si>
  <si>
    <t>(All)</t>
  </si>
  <si>
    <t>0DITANGGUHKAN</t>
  </si>
  <si>
    <t>1KEC CIANJUR</t>
  </si>
  <si>
    <t>2KEC SUKALUYU</t>
  </si>
  <si>
    <t>0MENOLAK</t>
  </si>
  <si>
    <t>Sum of TENDIK</t>
  </si>
  <si>
    <t>POSYANDU</t>
  </si>
  <si>
    <t>TOTAL PM</t>
  </si>
  <si>
    <t>Sum of SISWA</t>
  </si>
  <si>
    <t>JALUR</t>
  </si>
  <si>
    <t>CHEF</t>
  </si>
  <si>
    <t>DONE</t>
  </si>
  <si>
    <t>BELUM SERTIFIKAT</t>
  </si>
  <si>
    <t>BELUM</t>
  </si>
  <si>
    <t>ADA TAPI KADALUARSA</t>
  </si>
  <si>
    <t>ON PROG</t>
  </si>
  <si>
    <t/>
  </si>
  <si>
    <t>SPPG Cianjur Karangtengah Ciherang 2</t>
  </si>
  <si>
    <t>SPPG Cianjur Karangtengah Bojong 5</t>
  </si>
  <si>
    <t>SPPG Cianjur Karangtengah Sukasari</t>
  </si>
  <si>
    <t>Ciherang 2</t>
  </si>
  <si>
    <t>Bojong 5</t>
  </si>
  <si>
    <t>Sukasari</t>
  </si>
  <si>
    <t>kahandap</t>
  </si>
  <si>
    <t>kaluhur</t>
  </si>
  <si>
    <t>Distribusi April</t>
  </si>
  <si>
    <t>SINDANGASIH 2</t>
  </si>
  <si>
    <t>MELEBER</t>
  </si>
  <si>
    <t>SINDANGLAKA 5</t>
  </si>
  <si>
    <t>SUKAMANTRI 2</t>
  </si>
  <si>
    <t>PM TENDIK</t>
  </si>
  <si>
    <t>TOTAL</t>
  </si>
  <si>
    <t>SMA BAITUL ULUM</t>
  </si>
  <si>
    <t>PAUD ATTANWIR</t>
  </si>
  <si>
    <t>PONPES PASTAWA</t>
  </si>
  <si>
    <t>NO</t>
  </si>
  <si>
    <t>KATEGORI SASARAN</t>
  </si>
  <si>
    <t>JUMLAH</t>
  </si>
  <si>
    <t>IBU HAMIL</t>
  </si>
  <si>
    <t>IBU MENYUSUI</t>
  </si>
  <si>
    <t>BAYI &amp; BALITA</t>
  </si>
  <si>
    <t>JUMLAH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</si>
</sst>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6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</font>
    <font>
      <sz val="11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theme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6" fillId="0" borderId="0"/>
    <xf numFmtId="0" fontId="2" fillId="0" borderId="0"/>
    <xf numFmtId="0" fontId="5" fillId="0" borderId="0"/>
    <xf numFmtId="0" fontId="12" fillId="0" borderId="0"/>
    <xf numFmtId="0" fontId="13" fillId="0" borderId="0" applyNumberFormat="0" applyFill="0" applyBorder="0" applyAlignment="0" applyProtection="0"/>
    <xf numFmtId="0" fontId="1" fillId="0" borderId="0"/>
  </cellStyleXfs>
  <cellXfs count="76">
    <xf numFmtId="0" fontId="0" fillId="0" borderId="0" xfId="0" applyFont="1" applyFill="1" applyBorder="1"/>
    <xf numFmtId="0" fontId="3" fillId="0" borderId="1" xfId="0" applyFont="1" applyFill="1" applyBorder="1"/>
    <xf numFmtId="1" fontId="0" fillId="0" borderId="1" xfId="0" applyNumberFormat="1" applyFont="1" applyFill="1" applyBorder="1"/>
    <xf numFmtId="0" fontId="5" fillId="0" borderId="1" xfId="0" applyFont="1" applyFill="1" applyBorder="1"/>
    <xf numFmtId="0" fontId="7" fillId="0" borderId="1" xfId="0" applyFont="1" applyFill="1" applyBorder="1"/>
    <xf numFmtId="0" fontId="9" fillId="2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0" fillId="0" borderId="0" xfId="0" applyNumberFormat="1" applyFont="1" applyFill="1" applyBorder="1"/>
    <xf numFmtId="0" fontId="0" fillId="0" borderId="0" xfId="0" applyFont="1" applyFill="1" applyBorder="1" applyAlignment="1">
      <alignment horizontal="left"/>
    </xf>
    <xf numFmtId="0" fontId="0" fillId="0" borderId="1" xfId="0" applyNumberFormat="1" applyBorder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0" fillId="6" borderId="1" xfId="0" applyFont="1" applyFill="1" applyBorder="1"/>
    <xf numFmtId="0" fontId="4" fillId="6" borderId="1" xfId="0" applyFont="1" applyFill="1" applyBorder="1" applyAlignment="1">
      <alignment wrapText="1"/>
    </xf>
    <xf numFmtId="0" fontId="0" fillId="7" borderId="1" xfId="0" applyFont="1" applyFill="1" applyBorder="1"/>
    <xf numFmtId="0" fontId="4" fillId="6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1" fontId="0" fillId="7" borderId="1" xfId="0" applyNumberFormat="1" applyFont="1" applyFill="1" applyBorder="1"/>
    <xf numFmtId="1" fontId="0" fillId="7" borderId="1" xfId="0" applyNumberFormat="1" applyFont="1" applyFill="1" applyBorder="1" applyAlignment="1">
      <alignment horizontal="center"/>
    </xf>
    <xf numFmtId="0" fontId="5" fillId="7" borderId="1" xfId="0" applyFont="1" applyFill="1" applyBorder="1"/>
    <xf numFmtId="0" fontId="9" fillId="8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5" fillId="0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0" borderId="0" xfId="0" pivotButton="1" applyFont="1" applyFill="1" applyBorder="1"/>
    <xf numFmtId="0" fontId="10" fillId="5" borderId="1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7" fillId="0" borderId="1" xfId="0" applyFont="1" applyBorder="1" applyAlignment="1">
      <alignment horizontal="left"/>
    </xf>
    <xf numFmtId="0" fontId="5" fillId="0" borderId="0" xfId="0" applyFont="1" applyFill="1" applyBorder="1"/>
    <xf numFmtId="0" fontId="5" fillId="6" borderId="1" xfId="0" applyFont="1" applyFill="1" applyBorder="1"/>
    <xf numFmtId="0" fontId="8" fillId="6" borderId="1" xfId="0" applyFont="1" applyFill="1" applyBorder="1" applyAlignment="1">
      <alignment wrapText="1"/>
    </xf>
    <xf numFmtId="0" fontId="5" fillId="0" borderId="0" xfId="0" quotePrefix="1" applyFont="1" applyFill="1" applyBorder="1"/>
    <xf numFmtId="1" fontId="0" fillId="6" borderId="1" xfId="0" applyNumberFormat="1" applyFont="1" applyFill="1" applyBorder="1"/>
    <xf numFmtId="0" fontId="0" fillId="6" borderId="1" xfId="0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164" fontId="0" fillId="6" borderId="1" xfId="0" applyNumberFormat="1" applyFont="1" applyFill="1" applyBorder="1" applyAlignment="1">
      <alignment wrapText="1"/>
    </xf>
    <xf numFmtId="0" fontId="5" fillId="6" borderId="1" xfId="0" applyFont="1" applyFill="1" applyBorder="1" applyAlignment="1">
      <alignment wrapText="1"/>
    </xf>
    <xf numFmtId="0" fontId="0" fillId="3" borderId="0" xfId="0" applyFont="1" applyFill="1" applyBorder="1" applyAlignment="1">
      <alignment wrapText="1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15" fontId="0" fillId="6" borderId="1" xfId="0" applyNumberFormat="1" applyFont="1" applyFill="1" applyBorder="1" applyAlignment="1">
      <alignment wrapText="1"/>
    </xf>
    <xf numFmtId="0" fontId="0" fillId="0" borderId="0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12" fillId="0" borderId="1" xfId="4" applyBorder="1"/>
    <xf numFmtId="0" fontId="12" fillId="0" borderId="1" xfId="4" applyBorder="1"/>
    <xf numFmtId="0" fontId="7" fillId="7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right" wrapText="1"/>
    </xf>
    <xf numFmtId="0" fontId="11" fillId="7" borderId="1" xfId="0" applyFont="1" applyFill="1" applyBorder="1" applyAlignment="1">
      <alignment horizontal="right" wrapText="1"/>
    </xf>
    <xf numFmtId="0" fontId="11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0" fillId="9" borderId="1" xfId="0" applyFont="1" applyFill="1" applyBorder="1"/>
    <xf numFmtId="0" fontId="5" fillId="9" borderId="1" xfId="0" applyFont="1" applyFill="1" applyBorder="1"/>
    <xf numFmtId="1" fontId="0" fillId="9" borderId="1" xfId="0" applyNumberFormat="1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left"/>
    </xf>
    <xf numFmtId="1" fontId="0" fillId="9" borderId="1" xfId="0" applyNumberFormat="1" applyFont="1" applyFill="1" applyBorder="1"/>
    <xf numFmtId="0" fontId="8" fillId="11" borderId="1" xfId="0" applyFont="1" applyFill="1" applyBorder="1" applyAlignment="1">
      <alignment horizontal="left"/>
    </xf>
    <xf numFmtId="0" fontId="11" fillId="9" borderId="1" xfId="0" applyFont="1" applyFill="1" applyBorder="1" applyAlignment="1">
      <alignment wrapText="1"/>
    </xf>
    <xf numFmtId="0" fontId="7" fillId="9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9" fillId="0" borderId="1" xfId="0" applyFont="1" applyFill="1" applyBorder="1" applyAlignment="1">
      <alignment horizontal="left"/>
    </xf>
    <xf numFmtId="0" fontId="0" fillId="3" borderId="0" xfId="0" applyFont="1" applyFill="1" applyBorder="1"/>
    <xf numFmtId="0" fontId="11" fillId="9" borderId="1" xfId="0" applyFont="1" applyFill="1" applyBorder="1" applyAlignment="1">
      <alignment horizontal="right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</cellXfs>
  <cellStyles count="7">
    <cellStyle name="Hyperlink 2" xfId="5"/>
    <cellStyle name="Normal" xfId="0" builtinId="0"/>
    <cellStyle name="Normal 2" xfId="1"/>
    <cellStyle name="Normal 2 2" xfId="6"/>
    <cellStyle name="Normal 3" xfId="2"/>
    <cellStyle name="Normal 4" xfId="3"/>
    <cellStyle name="Normal 5" xfId="4"/>
  </cellStyles>
  <dxfs count="4"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an10" refreshedDate="46136.233713657406" createdVersion="6" refreshedVersion="6" minRefreshableVersion="3" recordCount="329">
  <cacheSource type="worksheet">
    <worksheetSource ref="A1:N330" sheet="Edit SEKOLAH FINAL"/>
  </cacheSource>
  <cacheFields count="14">
    <cacheField name="No" numFmtId="0">
      <sharedItems containsSemiMixedTypes="0" containsString="0" containsNumber="1" containsInteger="1" minValue="1" maxValue="330"/>
    </cacheField>
    <cacheField name="Nama Sekolah" numFmtId="0">
      <sharedItems/>
    </cacheField>
    <cacheField name="JALUR" numFmtId="0">
      <sharedItems containsString="0" containsBlank="1" containsNumber="1" containsInteger="1" minValue="0" maxValue="6"/>
    </cacheField>
    <cacheField name="NPSN" numFmtId="0">
      <sharedItems containsBlank="1" containsMixedTypes="1" containsNumber="1" containsInteger="1" minValue="20203285" maxValue="131232030066"/>
    </cacheField>
    <cacheField name="BP" numFmtId="0">
      <sharedItems containsBlank="1" count="15">
        <s v="TK"/>
        <s v="KB"/>
        <s v="SPS"/>
        <s v="SD"/>
        <s v="SMP"/>
        <s v="SMA"/>
        <s v="SMK"/>
        <s v="PKBM"/>
        <s v="SLB"/>
        <s v="RA"/>
        <s v="MIN"/>
        <s v="MIS"/>
        <s v="MTSS"/>
        <s v="MAS"/>
        <m/>
      </sharedItems>
    </cacheField>
    <cacheField name="KECAMATAN" numFmtId="0">
      <sharedItems containsBlank="1"/>
    </cacheField>
    <cacheField name="DESA" numFmtId="0">
      <sharedItems containsBlank="1"/>
    </cacheField>
    <cacheField name="Status" numFmtId="0">
      <sharedItems containsBlank="1"/>
    </cacheField>
    <cacheField name="PD" numFmtId="0">
      <sharedItems containsString="0" containsBlank="1" containsNumber="1" containsInteger="1" minValue="0" maxValue="1554"/>
    </cacheField>
    <cacheField name="Data Real PD" numFmtId="0">
      <sharedItems containsString="0" containsBlank="1" containsNumber="1" containsInteger="1" minValue="0" maxValue="1556"/>
    </cacheField>
    <cacheField name="TENDIK" numFmtId="0">
      <sharedItems containsString="0" containsBlank="1" containsNumber="1" containsInteger="1" minValue="8" maxValue="1614"/>
    </cacheField>
    <cacheField name="Dapur" numFmtId="0">
      <sharedItems containsBlank="1"/>
    </cacheField>
    <cacheField name="Distribusi" numFmtId="0">
      <sharedItems containsBlank="1"/>
    </cacheField>
    <cacheField name="Distribusi April" numFmtId="0">
      <sharedItems containsBlank="1" count="29">
        <s v="SUKATARIS"/>
        <s v="MALEBER"/>
        <s v="BOJONG 1"/>
        <s v="0DITANGGUHKAN"/>
        <s v="BOJONG 4"/>
        <s v="CIHERANG 2"/>
        <s v="0MENOLAK"/>
        <s v="SUKAJADI"/>
        <s v="SUKAMANTRI"/>
        <s v="SINDANGLAKA 4"/>
        <s v="SABANDAR 2"/>
        <s v="SINDANGLAKA 2"/>
        <s v="CIHERANG 1"/>
        <s v="SINDANGASIH 2"/>
        <s v="BOJONG 3"/>
        <s v="SINDANGASIH"/>
        <s v="BOJONG 5"/>
        <s v="HEGARMANAH 3"/>
        <s v="BOJONG 2"/>
        <s v="SINDANGLAKA 3"/>
        <m/>
        <s v="SINDANGLAKA 1"/>
        <s v="SUKASARI"/>
        <s v="SUKAMANTRI 2"/>
        <s v="HEGARMANAH 1"/>
        <s v="HEGARMANAH 2"/>
        <s v="SINDANGLAKA 5"/>
        <s v="SUKAMANAH"/>
        <s v="KEC CIANJU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an10" refreshedDate="46136.295956018519" createdVersion="6" refreshedVersion="6" minRefreshableVersion="3" recordCount="326">
  <cacheSource type="worksheet">
    <worksheetSource ref="A1:N327" sheet="Edit SEKOLAH FINAL"/>
  </cacheSource>
  <cacheFields count="14">
    <cacheField name="No" numFmtId="1">
      <sharedItems containsSemiMixedTypes="0" containsString="0" containsNumber="1" containsInteger="1" minValue="1" maxValue="327"/>
    </cacheField>
    <cacheField name="Nama Sekolah" numFmtId="0">
      <sharedItems/>
    </cacheField>
    <cacheField name="JALUR" numFmtId="0">
      <sharedItems containsString="0" containsBlank="1" containsNumber="1" containsInteger="1" minValue="0" maxValue="6"/>
    </cacheField>
    <cacheField name="NPSN" numFmtId="0">
      <sharedItems containsBlank="1" containsMixedTypes="1" containsNumber="1" containsInteger="1" minValue="20203285" maxValue="131232030066"/>
    </cacheField>
    <cacheField name="BP" numFmtId="0">
      <sharedItems containsBlank="1" count="15">
        <s v="TK"/>
        <s v="KB"/>
        <s v="SPS"/>
        <s v="SD"/>
        <s v="SMP"/>
        <s v="SMA"/>
        <s v="SMK"/>
        <s v="PKBM"/>
        <s v="SLB"/>
        <s v="RA"/>
        <s v="MIN"/>
        <s v="MIS"/>
        <s v="MTSS"/>
        <s v="MAS"/>
        <m/>
      </sharedItems>
    </cacheField>
    <cacheField name="KECAMATAN" numFmtId="0">
      <sharedItems containsBlank="1"/>
    </cacheField>
    <cacheField name="DESA" numFmtId="0">
      <sharedItems containsBlank="1"/>
    </cacheField>
    <cacheField name="Status" numFmtId="0">
      <sharedItems containsBlank="1"/>
    </cacheField>
    <cacheField name="PD" numFmtId="0">
      <sharedItems containsString="0" containsBlank="1" containsNumber="1" containsInteger="1" minValue="0" maxValue="1554"/>
    </cacheField>
    <cacheField name="Data Real PD" numFmtId="0">
      <sharedItems containsString="0" containsBlank="1" containsNumber="1" containsInteger="1" minValue="0" maxValue="1556"/>
    </cacheField>
    <cacheField name="TENDIK" numFmtId="0">
      <sharedItems containsString="0" containsBlank="1" containsNumber="1" containsInteger="1" minValue="8" maxValue="1614"/>
    </cacheField>
    <cacheField name="Dapur" numFmtId="0">
      <sharedItems containsBlank="1" count="26">
        <s v="0MENOLAK"/>
        <s v="MALEBER"/>
        <s v="BOJONG 1"/>
        <s v="0DITANGGUHKAN"/>
        <s v="BOJONG 4"/>
        <s v="SUKAMANTRI"/>
        <s v="SUKAJADI"/>
        <s v="SINDANGLAKA 4"/>
        <s v="SABANDAR 2"/>
        <s v="SINDANGLAKA 2"/>
        <s v="CIHERANG 1"/>
        <s v="SINDANGASIH"/>
        <s v="BOJONG 3"/>
        <s v="SUKATARIS"/>
        <s v="HEGARMANAH 3"/>
        <s v="BOJONG 2"/>
        <s v="CIHERANG 2"/>
        <s v="SINDANGLAKA 3"/>
        <s v="SINDANGLAKA 1"/>
        <m/>
        <s v="HEGARMANAH 1"/>
        <s v="HEGARMANAH 2"/>
        <s v="2KEC SUKALUYU"/>
        <s v="SUKASARI"/>
        <s v="BOJONG 5"/>
        <s v="1KEC CIANJUR"/>
      </sharedItems>
    </cacheField>
    <cacheField name="Distribusi" numFmtId="0">
      <sharedItems containsBlank="1" count="25">
        <s v="SUKATARIS"/>
        <s v="MALEBER"/>
        <s v="BOJONG 1"/>
        <s v="0DITANGGUHKAN"/>
        <s v="BOJONG 4"/>
        <s v="CIHERANG 2"/>
        <s v="0MENOLAK"/>
        <s v="SUKAJADI"/>
        <s v="SUKAMANTRI"/>
        <s v="SINDANGLAKA 4"/>
        <s v="SABANDAR 2"/>
        <s v="SINDANGLAKA 2"/>
        <s v="CIHERANG 1"/>
        <s v="SINDANGASIH"/>
        <s v="BOJONG 3"/>
        <s v="HEGARMANAH 2"/>
        <s v="HEGARMANAH 3"/>
        <s v="BOJONG 2"/>
        <s v="SINDANGLAKA 3"/>
        <s v="SINDANGLAKA 1"/>
        <s v="BOJONG 5"/>
        <m/>
        <s v="HEGARMANAH 1"/>
        <s v="SUKASARI"/>
        <s v="KEC CIANJUR"/>
      </sharedItems>
    </cacheField>
    <cacheField name="Distribusi Apri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9">
  <r>
    <n v="1"/>
    <s v="TK  HARAPAN BUNDA"/>
    <m/>
    <n v="20257296"/>
    <x v="0"/>
    <s v="Karangtengah"/>
    <s v="SUKATARIS"/>
    <s v="Swasta"/>
    <n v="8"/>
    <n v="8"/>
    <n v="8"/>
    <s v="0MENOLAK"/>
    <s v="SUKATARIS"/>
    <x v="0"/>
  </r>
  <r>
    <n v="2"/>
    <s v="TK  PELITA HATI"/>
    <m/>
    <n v="69908414"/>
    <x v="0"/>
    <s v="Karangtengah"/>
    <s v="MALEBER"/>
    <s v="Swasta"/>
    <n v="27"/>
    <n v="28"/>
    <n v="32"/>
    <s v="MALEBER"/>
    <s v="MALEBER"/>
    <x v="1"/>
  </r>
  <r>
    <n v="3"/>
    <s v="TK AL IHSAN"/>
    <m/>
    <n v="20255306"/>
    <x v="0"/>
    <s v="Karangtengah"/>
    <s v="BOJONG"/>
    <s v="Swasta"/>
    <n v="50"/>
    <n v="52"/>
    <n v="57"/>
    <s v="BOJONG 1"/>
    <s v="BOJONG 1"/>
    <x v="2"/>
  </r>
  <r>
    <n v="4"/>
    <s v="TK AL LAWIYYIN"/>
    <m/>
    <n v="20255323"/>
    <x v="0"/>
    <s v="Karangtengah"/>
    <s v="MALEBER"/>
    <s v="Swasta"/>
    <n v="34"/>
    <n v="34"/>
    <n v="34"/>
    <s v="0DITANGGUHKAN"/>
    <s v="0DITANGGUHKAN"/>
    <x v="3"/>
  </r>
  <r>
    <n v="5"/>
    <s v="TK AL-FAIDAH"/>
    <m/>
    <n v="69880598"/>
    <x v="0"/>
    <s v="Karangtengah"/>
    <s v="BOJONG"/>
    <s v="Swasta"/>
    <n v="57"/>
    <n v="57"/>
    <n v="67"/>
    <s v="BOJONG 4"/>
    <s v="BOJONG 1"/>
    <x v="4"/>
  </r>
  <r>
    <n v="6"/>
    <s v="TK AL-IKHLAS ASSHIDIQIYYAH"/>
    <m/>
    <n v="69908419"/>
    <x v="0"/>
    <s v="Karangtengah"/>
    <s v="SABANDAR"/>
    <s v="Swasta"/>
    <n v="32"/>
    <n v="32"/>
    <n v="38"/>
    <s v="BOJONG 4"/>
    <s v="BOJONG 4"/>
    <x v="4"/>
  </r>
  <r>
    <n v="7"/>
    <s v="TK AL-MUJAHADAH"/>
    <m/>
    <n v="70009117"/>
    <x v="0"/>
    <s v="Karangtengah"/>
    <s v="BABAKANCARINGIN"/>
    <s v="Swasta"/>
    <n v="39"/>
    <n v="45"/>
    <n v="47"/>
    <s v="SUKAMANTRI"/>
    <s v="CIHERANG 2"/>
    <x v="5"/>
  </r>
  <r>
    <n v="8"/>
    <s v="TK AN NASHIR ISLAMIC KINDERGARTEN"/>
    <m/>
    <n v="70052218"/>
    <x v="0"/>
    <s v="Karangtengah"/>
    <s v="BOJONG"/>
    <s v="Swasta"/>
    <n v="63"/>
    <n v="63"/>
    <n v="63"/>
    <s v="0MENOLAK"/>
    <s v="0MENOLAK"/>
    <x v="6"/>
  </r>
  <r>
    <n v="9"/>
    <s v="TK ANGGREK BULAN"/>
    <m/>
    <n v="20255309"/>
    <x v="0"/>
    <s v="Karangtengah"/>
    <s v="SUKAJADI"/>
    <s v="Swasta"/>
    <n v="35"/>
    <n v="35"/>
    <n v="35"/>
    <s v="SUKAJADI"/>
    <s v="SUKAJADI"/>
    <x v="7"/>
  </r>
  <r>
    <n v="10"/>
    <s v="TK ASMA NADIA"/>
    <m/>
    <n v="69893098"/>
    <x v="0"/>
    <s v="Karangtengah"/>
    <s v="SUKAMANTRI"/>
    <s v="Swasta"/>
    <n v="34"/>
    <n v="45"/>
    <n v="47"/>
    <s v="SUKAMANTRI"/>
    <s v="SUKAMANTRI"/>
    <x v="8"/>
  </r>
  <r>
    <n v="11"/>
    <s v="TK BAITUL AMANAH"/>
    <m/>
    <n v="20255322"/>
    <x v="0"/>
    <s v="Karangtengah"/>
    <s v="HEGARMANAH"/>
    <s v="Swasta"/>
    <n v="33"/>
    <n v="35"/>
    <n v="39"/>
    <s v="SINDANGLAKA 4"/>
    <s v="SINDANGLAKA 4"/>
    <x v="9"/>
  </r>
  <r>
    <n v="12"/>
    <s v="TK BINTANG KECIL"/>
    <m/>
    <n v="20255321"/>
    <x v="0"/>
    <s v="Karangtengah"/>
    <s v="SABANDAR"/>
    <s v="Swasta"/>
    <n v="21"/>
    <n v="21"/>
    <n v="25"/>
    <s v="SABANDAR 2"/>
    <s v="SABANDAR 2"/>
    <x v="10"/>
  </r>
  <r>
    <n v="13"/>
    <s v="TK BUNGA PERSADA"/>
    <m/>
    <n v="69915798"/>
    <x v="0"/>
    <s v="Karangtengah"/>
    <s v="SUKAMULYA"/>
    <s v="Swasta"/>
    <n v="24"/>
    <n v="25"/>
    <n v="29"/>
    <s v="SINDANGLAKA 2"/>
    <s v="SINDANGLAKA 2"/>
    <x v="11"/>
  </r>
  <r>
    <n v="14"/>
    <s v="TK ISLAM AL-MADINAH"/>
    <m/>
    <n v="69916912"/>
    <x v="0"/>
    <s v="Karangtengah"/>
    <s v="CIHERANG"/>
    <s v="Swasta"/>
    <n v="66"/>
    <n v="70"/>
    <n v="82"/>
    <s v="CIHERANG 1"/>
    <s v="CIHERANG 1"/>
    <x v="12"/>
  </r>
  <r>
    <n v="15"/>
    <s v="TK IT AL-FATIH"/>
    <m/>
    <n v="70037208"/>
    <x v="0"/>
    <s v="Karangtengah"/>
    <s v="SUKAMANAH"/>
    <s v="Swasta"/>
    <n v="38"/>
    <n v="45"/>
    <n v="50"/>
    <s v="SINDANGASIH"/>
    <s v="SINDANGASIH"/>
    <x v="13"/>
  </r>
  <r>
    <n v="16"/>
    <s v="TK IT ANNISA"/>
    <m/>
    <n v="70047369"/>
    <x v="0"/>
    <s v="Karangtengah"/>
    <s v="SINDANGLAKA"/>
    <s v="Swasta"/>
    <n v="105"/>
    <n v="105"/>
    <n v="105"/>
    <s v="0DITANGGUHKAN"/>
    <s v="0DITANGGUHKAN"/>
    <x v="3"/>
  </r>
  <r>
    <n v="17"/>
    <s v="TK IT DAAR EL MUMTAAZ CIANJUR"/>
    <m/>
    <n v="70038440"/>
    <x v="0"/>
    <s v="Karangtengah"/>
    <s v="SUKASARANA"/>
    <s v="Swasta"/>
    <n v="95"/>
    <n v="18"/>
    <n v="89"/>
    <s v="CIHERANG 1"/>
    <s v="CIHERANG 1"/>
    <x v="12"/>
  </r>
  <r>
    <n v="18"/>
    <s v="TK IT TAHFIDZ AL-MANSUR"/>
    <m/>
    <n v="70026825"/>
    <x v="0"/>
    <s v="Karangtengah"/>
    <s v="SUKAMANAH"/>
    <s v="Swasta"/>
    <n v="34"/>
    <n v="160"/>
    <n v="42"/>
    <s v="BOJONG 3"/>
    <s v="BOJONG 3"/>
    <x v="14"/>
  </r>
  <r>
    <n v="19"/>
    <s v="TK KARTIKA XIX-5"/>
    <m/>
    <n v="69907644"/>
    <x v="0"/>
    <s v="Karangtengah"/>
    <s v="SUKATARIS"/>
    <s v="Swasta"/>
    <n v="25"/>
    <n v="235"/>
    <n v="28"/>
    <s v="SUKATARIS"/>
    <s v="SUKATARIS"/>
    <x v="0"/>
  </r>
  <r>
    <n v="20"/>
    <s v="TK MIFTAHUL GINA"/>
    <m/>
    <n v="20255312"/>
    <x v="0"/>
    <s v="Karangtengah"/>
    <s v="SINDANGASIH"/>
    <s v="Swasta"/>
    <n v="45"/>
    <n v="0"/>
    <n v="55"/>
    <s v="SINDANGASIH"/>
    <s v="SINDANGASIH"/>
    <x v="15"/>
  </r>
  <r>
    <n v="21"/>
    <s v="TK MIFTAHUL HUDA"/>
    <m/>
    <n v="70010903"/>
    <x v="0"/>
    <s v="Karangtengah"/>
    <s v="SABANDAR"/>
    <s v="Swasta"/>
    <n v="21"/>
    <n v="173"/>
    <n v="45"/>
    <s v="SABANDAR 2"/>
    <s v="SABANDAR 2"/>
    <x v="10"/>
  </r>
  <r>
    <n v="22"/>
    <s v="TK MUTIARA ILMU"/>
    <m/>
    <n v="69949917"/>
    <x v="0"/>
    <s v="Karangtengah"/>
    <s v="CIHERANG"/>
    <s v="Swasta"/>
    <n v="10"/>
    <n v="1"/>
    <n v="16"/>
    <s v="CIHERANG 1"/>
    <s v="CIHERANG 1"/>
    <x v="12"/>
  </r>
  <r>
    <n v="23"/>
    <s v="TK MUTIARA QOLBU"/>
    <m/>
    <n v="69991763"/>
    <x v="0"/>
    <s v="Karangtengah"/>
    <s v="MALEBER"/>
    <s v="Swasta"/>
    <n v="34"/>
    <n v="40"/>
    <n v="43"/>
    <s v="SINDANGLAKA 4"/>
    <s v="HEGARMANAH 2"/>
    <x v="16"/>
  </r>
  <r>
    <n v="24"/>
    <s v="TK NUR SYAMSI"/>
    <m/>
    <n v="70026385"/>
    <x v="0"/>
    <s v="Karangtengah"/>
    <s v="SUKAMANAH"/>
    <s v="Swasta"/>
    <n v="11"/>
    <n v="0"/>
    <n v="18"/>
    <s v="BOJONG 3"/>
    <s v="BOJONG 3"/>
    <x v="14"/>
  </r>
  <r>
    <n v="25"/>
    <s v="TK NURUL FALAH"/>
    <m/>
    <n v="20255313"/>
    <x v="0"/>
    <s v="Karangtengah"/>
    <s v="BOJONG"/>
    <s v="Swasta"/>
    <n v="35"/>
    <n v="165"/>
    <n v="41"/>
    <s v="HEGARMANAH 3"/>
    <s v="HEGARMANAH 3"/>
    <x v="17"/>
  </r>
  <r>
    <n v="26"/>
    <s v="TK NURUL WATHAN"/>
    <m/>
    <n v="20255314"/>
    <x v="0"/>
    <s v="Karangtengah"/>
    <s v="SABANDAR"/>
    <s v="Swasta"/>
    <n v="74"/>
    <n v="307"/>
    <n v="87"/>
    <s v="HEGARMANAH 3"/>
    <s v="HEGARMANAH 3"/>
    <x v="17"/>
  </r>
  <r>
    <n v="27"/>
    <s v="TK NURUSSHIBYAN"/>
    <m/>
    <n v="20255308"/>
    <x v="0"/>
    <s v="Karangtengah"/>
    <s v="BOJONG"/>
    <s v="Swasta"/>
    <n v="49"/>
    <n v="247"/>
    <n v="58"/>
    <s v="HEGARMANAH 3"/>
    <s v="HEGARMANAH 3"/>
    <x v="17"/>
  </r>
  <r>
    <n v="28"/>
    <s v="TK PGRI 1 KARANGTENGAH"/>
    <m/>
    <n v="69908424"/>
    <x v="0"/>
    <s v="Karangtengah"/>
    <s v="HEGARMANAH"/>
    <s v="Swasta"/>
    <n v="47"/>
    <n v="0"/>
    <n v="53"/>
    <s v="HEGARMANAH 3"/>
    <s v="HEGARMANAH 3"/>
    <x v="17"/>
  </r>
  <r>
    <n v="29"/>
    <s v="TK PGRI 2 KARANGTENGAH"/>
    <m/>
    <n v="69908432"/>
    <x v="0"/>
    <s v="Karangtengah"/>
    <s v="SUKAMANAH"/>
    <s v="Swasta"/>
    <n v="23"/>
    <n v="37"/>
    <n v="28"/>
    <s v="BOJONG 2"/>
    <s v="BOJONG 2"/>
    <x v="18"/>
  </r>
  <r>
    <n v="30"/>
    <s v="TK PUTRA PUTRI INDONESIA (P21)"/>
    <m/>
    <n v="70015256"/>
    <x v="0"/>
    <s v="Karangtengah"/>
    <s v="BABAKANCARINGIN"/>
    <s v="Swasta"/>
    <n v="18"/>
    <n v="354"/>
    <n v="21"/>
    <s v="SUKAMANTRI"/>
    <s v="CIHERANG 2"/>
    <x v="5"/>
  </r>
  <r>
    <n v="31"/>
    <s v="TK SAHABAT"/>
    <m/>
    <n v="69991186"/>
    <x v="0"/>
    <s v="Karangtengah"/>
    <s v="SABANDAR"/>
    <s v="Swasta"/>
    <n v="24"/>
    <n v="62"/>
    <n v="30"/>
    <s v="BOJONG 1"/>
    <s v="BOJONG 4"/>
    <x v="2"/>
  </r>
  <r>
    <n v="32"/>
    <s v="TK TUNAS HARAPAN"/>
    <m/>
    <n v="69975439"/>
    <x v="0"/>
    <s v="Karangtengah"/>
    <s v="CIHERANG"/>
    <s v="Swasta"/>
    <n v="19"/>
    <n v="51"/>
    <n v="20"/>
    <s v="CIHERANG 2"/>
    <s v="CIHERANG 2"/>
    <x v="5"/>
  </r>
  <r>
    <n v="33"/>
    <s v="TKIT MAHARANI PUTRI"/>
    <m/>
    <n v="70026258"/>
    <x v="0"/>
    <s v="Karangtengah"/>
    <s v="CIHERANG"/>
    <s v="Swasta"/>
    <n v="30"/>
    <n v="63"/>
    <n v="29"/>
    <s v="BOJONG 4"/>
    <s v="SINDANGLAKA 4"/>
    <x v="9"/>
  </r>
  <r>
    <n v="34"/>
    <s v="KB AL-BAROOHIIN"/>
    <m/>
    <n v="69971955"/>
    <x v="1"/>
    <s v="Karangtengah"/>
    <s v="HEGARMANAH"/>
    <s v="Swasta"/>
    <n v="35"/>
    <n v="7"/>
    <n v="31"/>
    <s v="HEGARMANAH 3"/>
    <s v="HEGARMANAH 3"/>
    <x v="17"/>
  </r>
  <r>
    <n v="35"/>
    <s v="KB AL-FAIDAH"/>
    <m/>
    <n v="69880601"/>
    <x v="1"/>
    <s v="Karangtengah"/>
    <s v="BOJONG"/>
    <s v="Swasta"/>
    <n v="19"/>
    <n v="40"/>
    <n v="23"/>
    <s v="BOJONG 4"/>
    <s v="BOJONG 1"/>
    <x v="4"/>
  </r>
  <r>
    <n v="36"/>
    <s v="KB AL-HAMIDIN"/>
    <m/>
    <n v="69964525"/>
    <x v="1"/>
    <s v="Karangtengah"/>
    <s v="LANGENSARI"/>
    <s v="Swasta"/>
    <n v="30"/>
    <n v="17"/>
    <n v="26"/>
    <s v="BOJONG 4"/>
    <s v="SINDANGLAKA 4"/>
    <x v="9"/>
  </r>
  <r>
    <n v="37"/>
    <s v="KB AL-HUDA"/>
    <m/>
    <n v="69992607"/>
    <x v="1"/>
    <s v="Karangtengah"/>
    <s v="SUKAMULYA"/>
    <s v="Swasta"/>
    <n v="22"/>
    <n v="25"/>
    <n v="30"/>
    <s v="SINDANGLAKA 3"/>
    <s v="SINDANGLAKA 3"/>
    <x v="19"/>
  </r>
  <r>
    <n v="38"/>
    <s v="KB AL-MUJAHADAH"/>
    <m/>
    <n v="69823593"/>
    <x v="1"/>
    <s v="Karangtengah"/>
    <s v="SABANDAR"/>
    <s v="Swasta"/>
    <n v="39"/>
    <n v="39"/>
    <n v="39"/>
    <s v="BOJONG 4"/>
    <s v="BOJONG 4"/>
    <x v="20"/>
  </r>
  <r>
    <n v="39"/>
    <s v="KB ANGGREK"/>
    <m/>
    <n v="69978037"/>
    <x v="1"/>
    <s v="Karangtengah"/>
    <s v="SINDANGLAKA"/>
    <s v="Swasta"/>
    <n v="16"/>
    <n v="6"/>
    <n v="8"/>
    <s v="SINDANGLAKA 1"/>
    <s v="SINDANGLAKA 1"/>
    <x v="21"/>
  </r>
  <r>
    <n v="40"/>
    <s v="KB ANNAHDOH"/>
    <m/>
    <n v="70000659"/>
    <x v="1"/>
    <s v="Karangtengah"/>
    <s v="SUKAJADI"/>
    <s v="Swasta"/>
    <n v="44"/>
    <n v="42"/>
    <n v="46"/>
    <s v="SUKAJADI"/>
    <s v="SUKAJADI"/>
    <x v="7"/>
  </r>
  <r>
    <n v="41"/>
    <s v="KB AS SADIKIN"/>
    <n v="4"/>
    <n v="70052723"/>
    <x v="1"/>
    <s v="Karangtengah"/>
    <s v="SUKASARI"/>
    <s v="Swasta"/>
    <n v="30"/>
    <n v="36"/>
    <n v="41"/>
    <s v="SINDANGLAKA 4"/>
    <s v="BOJONG 5"/>
    <x v="22"/>
  </r>
  <r>
    <n v="42"/>
    <s v="KB ASRORUL HUKAMA"/>
    <m/>
    <n v="69978476"/>
    <x v="1"/>
    <s v="Karangtengah"/>
    <s v="SUKAJADI"/>
    <s v="Swasta"/>
    <n v="20"/>
    <n v="26"/>
    <n v="31"/>
    <s v="SUKAJADI"/>
    <s v="SUKAJADI"/>
    <x v="7"/>
  </r>
  <r>
    <n v="43"/>
    <s v="KB ASSIFA"/>
    <m/>
    <n v="70001235"/>
    <x v="1"/>
    <s v="Karangtengah"/>
    <s v="SUKAJADI"/>
    <s v="Swasta"/>
    <n v="81"/>
    <n v="17"/>
    <n v="20"/>
    <s v="SUKAJADI"/>
    <s v="SUKAJADI"/>
    <x v="7"/>
  </r>
  <r>
    <n v="44"/>
    <s v="KB AT-TANWIIR"/>
    <m/>
    <n v="70003877"/>
    <x v="1"/>
    <s v="Karangtengah"/>
    <s v="MALEBER"/>
    <s v="Swasta"/>
    <n v="17"/>
    <m/>
    <m/>
    <m/>
    <m/>
    <x v="20"/>
  </r>
  <r>
    <n v="45"/>
    <s v="KB AT-TAUFIQ AL-ISTIQLAAL"/>
    <m/>
    <n v="69984066"/>
    <x v="1"/>
    <s v="Karangtengah"/>
    <s v="SUKAJADI"/>
    <s v="Swasta"/>
    <n v="62"/>
    <n v="38"/>
    <n v="40"/>
    <s v="SUKAJADI"/>
    <s v="SUKAJADI"/>
    <x v="7"/>
  </r>
  <r>
    <n v="46"/>
    <s v="KB AZ-ZAHRA"/>
    <m/>
    <n v="70008259"/>
    <x v="1"/>
    <s v="Karangtengah"/>
    <s v="SUKASARANA"/>
    <s v="Swasta"/>
    <n v="36"/>
    <n v="38"/>
    <n v="38"/>
    <s v="CIHERANG 2"/>
    <s v="SUKAMANTRI"/>
    <x v="8"/>
  </r>
  <r>
    <n v="47"/>
    <s v="KB CENDRAWASIH"/>
    <m/>
    <n v="70038479"/>
    <x v="1"/>
    <s v="Karangtengah"/>
    <s v="SUKAMANTRI"/>
    <s v="Swasta"/>
    <n v="65"/>
    <n v="63"/>
    <n v="66"/>
    <s v="SUKAMANTRI"/>
    <s v="SUKAMANTRI"/>
    <x v="23"/>
  </r>
  <r>
    <n v="48"/>
    <s v="KB FALAHUL MUBTADIIN"/>
    <m/>
    <n v="69987012"/>
    <x v="1"/>
    <s v="Karangtengah"/>
    <s v="LANGENSARI"/>
    <s v="Swasta"/>
    <n v="45"/>
    <n v="32"/>
    <n v="34"/>
    <s v="BOJONG 4"/>
    <s v="SINDANGLAKA 4"/>
    <x v="9"/>
  </r>
  <r>
    <n v="49"/>
    <s v="KB MAWAR YONIF 300 / RAIDER"/>
    <m/>
    <n v="69823491"/>
    <x v="1"/>
    <s v="Karangtengah"/>
    <s v="SUKATARIS"/>
    <s v="Swasta"/>
    <n v="49"/>
    <n v="36"/>
    <n v="38"/>
    <s v="SUKATARIS"/>
    <s v="SUKATARIS"/>
    <x v="0"/>
  </r>
  <r>
    <n v="50"/>
    <s v="KB MUCHTAR AL-FATIH"/>
    <m/>
    <n v="69990543"/>
    <x v="1"/>
    <s v="Karangtengah"/>
    <s v="SUKAJADI"/>
    <s v="Swasta"/>
    <n v="22"/>
    <n v="20"/>
    <n v="25"/>
    <s v="SUKAJADI"/>
    <s v="SUKAJADI"/>
    <x v="7"/>
  </r>
  <r>
    <n v="51"/>
    <s v="KB RUMSITI"/>
    <m/>
    <n v="70028798"/>
    <x v="1"/>
    <s v="Karangtengah"/>
    <s v="HEGARMANAH"/>
    <s v="Swasta"/>
    <n v="57"/>
    <n v="37"/>
    <n v="44"/>
    <s v="SINDANGLAKA 4"/>
    <s v="SINDANGLAKA 4"/>
    <x v="9"/>
  </r>
  <r>
    <n v="52"/>
    <s v="KB TARBIYYATUL FALAH"/>
    <m/>
    <n v="69991462"/>
    <x v="1"/>
    <s v="Karangtengah"/>
    <s v="SUKASARANA"/>
    <s v="Swasta"/>
    <n v="14"/>
    <n v="9"/>
    <n v="11"/>
    <s v="SUKAMANTRI"/>
    <s v="SUKAMANTRI"/>
    <x v="8"/>
  </r>
  <r>
    <n v="53"/>
    <s v="KB TARBIYYATUS SHIBYAN"/>
    <m/>
    <n v="69823527"/>
    <x v="1"/>
    <s v="Karangtengah"/>
    <s v="HEGARMANAH"/>
    <s v="Swasta"/>
    <n v="20"/>
    <n v="19"/>
    <n v="23"/>
    <s v="HEGARMANAH 1"/>
    <s v="HEGARMANAH 1"/>
    <x v="24"/>
  </r>
  <r>
    <n v="54"/>
    <s v="KB. AL-MAWA"/>
    <m/>
    <n v="69823566"/>
    <x v="1"/>
    <s v="Karangtengah"/>
    <s v="BABAKANCARINGIN"/>
    <s v="Swasta"/>
    <n v="42"/>
    <n v="42"/>
    <n v="44"/>
    <s v="SUKAMANTRI"/>
    <s v="CIHERANG 2"/>
    <x v="5"/>
  </r>
  <r>
    <n v="55"/>
    <s v="KB. AL-MIZAN"/>
    <m/>
    <n v="69823580"/>
    <x v="1"/>
    <s v="Karangtengah"/>
    <s v="LANGENSARI"/>
    <s v="Swasta"/>
    <n v="29"/>
    <n v="28"/>
    <n v="31"/>
    <s v="BOJONG 4"/>
    <s v="BOJONG 4"/>
    <x v="22"/>
  </r>
  <r>
    <n v="56"/>
    <s v="KB. ALHIDAYAH"/>
    <m/>
    <n v="69823556"/>
    <x v="1"/>
    <s v="Karangtengah"/>
    <s v="SUKASARANA"/>
    <s v="Swasta"/>
    <n v="33"/>
    <n v="33"/>
    <n v="35"/>
    <s v="SUKAMANTRI"/>
    <s v="SUKAMANTRI"/>
    <x v="8"/>
  </r>
  <r>
    <n v="57"/>
    <s v="KB. NURUL ISLAM"/>
    <m/>
    <n v="69823650"/>
    <x v="1"/>
    <s v="Karangtengah"/>
    <s v="BABAKANCARINGIN"/>
    <s v="Swasta"/>
    <n v="21"/>
    <n v="21"/>
    <n v="38"/>
    <m/>
    <s v="SUKAMANTRI"/>
    <x v="23"/>
  </r>
  <r>
    <n v="58"/>
    <s v="KB. NURUL ROHMAH"/>
    <m/>
    <n v="69823661"/>
    <x v="1"/>
    <s v="Karangtengah"/>
    <s v="SUKAMANAH"/>
    <s v="Swasta"/>
    <n v="65"/>
    <n v="57"/>
    <n v="59"/>
    <s v="SINDANGASIH"/>
    <s v="SINDANGASIH"/>
    <x v="13"/>
  </r>
  <r>
    <n v="59"/>
    <s v="KB. PERKUTUT"/>
    <m/>
    <n v="69823431"/>
    <x v="1"/>
    <s v="Karangtengah"/>
    <s v="SUKAMANTRI"/>
    <s v="Swasta"/>
    <n v="50"/>
    <n v="32"/>
    <n v="35"/>
    <s v="SUKAMANTRI"/>
    <s v="SUKAMANTRI"/>
    <x v="23"/>
  </r>
  <r>
    <n v="60"/>
    <s v="PAUD  AL-HIDAYAH"/>
    <m/>
    <n v="69907576"/>
    <x v="1"/>
    <s v="Karangtengah"/>
    <s v="SINDANGLAKA"/>
    <s v="Swasta"/>
    <n v="42"/>
    <n v="38"/>
    <n v="42"/>
    <s v="SINDANGLAKA 3"/>
    <s v="SINDANGLAKA 3"/>
    <x v="19"/>
  </r>
  <r>
    <n v="61"/>
    <s v="PAUD AL IHYA"/>
    <m/>
    <n v="69940182"/>
    <x v="1"/>
    <s v="Karangtengah"/>
    <s v="SINDANGASIH"/>
    <s v="Swasta"/>
    <n v="14"/>
    <n v="15"/>
    <n v="19"/>
    <s v="SINDANGASIH"/>
    <s v="SINDANGASIH"/>
    <x v="15"/>
  </r>
  <r>
    <n v="62"/>
    <s v="PAUD AN-NADWAH"/>
    <m/>
    <n v="69823610"/>
    <x v="1"/>
    <s v="Karangtengah"/>
    <s v="SUKATARIS"/>
    <s v="Swasta"/>
    <n v="22"/>
    <n v="24"/>
    <n v="27"/>
    <s v="SINDANGLAKA 3"/>
    <s v="SINDANGLAKA 3"/>
    <x v="19"/>
  </r>
  <r>
    <n v="63"/>
    <s v="PAUD ASYFA SEROJA"/>
    <m/>
    <n v="69949429"/>
    <x v="1"/>
    <s v="Karangtengah"/>
    <s v="BABAKANCARINGIN"/>
    <s v="Swasta"/>
    <n v="15"/>
    <n v="21"/>
    <n v="21"/>
    <s v="CIHERANG 2"/>
    <s v="CIHERANG 2"/>
    <x v="5"/>
  </r>
  <r>
    <n v="64"/>
    <s v="PAUD BASMALAH HAMDALAH"/>
    <m/>
    <n v="69823633"/>
    <x v="1"/>
    <s v="Karangtengah"/>
    <s v="MALEBER"/>
    <s v="Swasta"/>
    <n v="27"/>
    <n v="22"/>
    <n v="27"/>
    <s v="HEGARMANAH 2"/>
    <s v="MALEBER"/>
    <x v="1"/>
  </r>
  <r>
    <n v="65"/>
    <s v="PAUD CIIMBANGSARI"/>
    <m/>
    <n v="69945727"/>
    <x v="1"/>
    <s v="Karangtengah"/>
    <s v="HEGARMANAH"/>
    <s v="Swasta"/>
    <n v="60"/>
    <n v="56"/>
    <n v="60"/>
    <s v="HEGARMANAH 2"/>
    <s v="HEGARMANAH 2"/>
    <x v="25"/>
  </r>
  <r>
    <n v="66"/>
    <s v="PAUD DAARUT TAQWA ASYAMSURIYYAH"/>
    <m/>
    <n v="69911089"/>
    <x v="1"/>
    <s v="Karangtengah"/>
    <s v="SABANDAR"/>
    <s v="Swasta"/>
    <n v="28"/>
    <n v="31"/>
    <n v="33"/>
    <s v="BOJONG 4"/>
    <s v="BOJONG 4"/>
    <x v="4"/>
  </r>
  <r>
    <n v="67"/>
    <s v="PAUD DARUL HUDA"/>
    <m/>
    <n v="69893108"/>
    <x v="1"/>
    <s v="Karangtengah"/>
    <s v="BOJONG"/>
    <s v="Swasta"/>
    <n v="72"/>
    <n v="21"/>
    <n v="24"/>
    <s v="SINDANGLAKA 3"/>
    <s v="SINDANGLAKA 3"/>
    <x v="19"/>
  </r>
  <r>
    <n v="68"/>
    <s v="PAUD DZUANNUR"/>
    <m/>
    <n v="69916259"/>
    <x v="1"/>
    <s v="Karangtengah"/>
    <s v="SINDANGLAKA"/>
    <s v="Swasta"/>
    <n v="7"/>
    <m/>
    <m/>
    <m/>
    <s v="SINDANGLAKA 2"/>
    <x v="11"/>
  </r>
  <r>
    <n v="69"/>
    <s v="PAUD HJ. HAMIDAH"/>
    <m/>
    <n v="69911836"/>
    <x v="1"/>
    <s v="Karangtengah"/>
    <s v="SINDANGASIH"/>
    <s v="Swasta"/>
    <n v="20"/>
    <n v="18"/>
    <n v="21"/>
    <s v="SINDANGASIH"/>
    <s v="SINDANGASIH"/>
    <x v="15"/>
  </r>
  <r>
    <n v="70"/>
    <s v="PAUD KASIH IBU"/>
    <m/>
    <n v="69938855"/>
    <x v="1"/>
    <s v="Karangtengah"/>
    <s v="SUKAMULYA"/>
    <s v="Swasta"/>
    <n v="29"/>
    <n v="28"/>
    <n v="32"/>
    <s v="SINDANGLAKA 3"/>
    <s v="SINDANGLAKA 3"/>
    <x v="19"/>
  </r>
  <r>
    <n v="71"/>
    <s v="PAUD MIFTAHUL HUDA SADEWATA"/>
    <m/>
    <n v="69949426"/>
    <x v="1"/>
    <s v="Karangtengah"/>
    <s v="BOJONG"/>
    <s v="Swasta"/>
    <n v="50"/>
    <n v="22"/>
    <n v="28"/>
    <s v="SUKATARIS"/>
    <s v="SUKATARIS"/>
    <x v="0"/>
  </r>
  <r>
    <n v="72"/>
    <s v="PAUD MIFTAHUL JANNAH"/>
    <m/>
    <n v="69823640"/>
    <x v="1"/>
    <s v="Karangtengah"/>
    <s v="CIHERANG"/>
    <s v="Swasta"/>
    <n v="48"/>
    <n v="48"/>
    <n v="55"/>
    <s v="CIHERANG 1"/>
    <s v="CIHERANG 1"/>
    <x v="12"/>
  </r>
  <r>
    <n v="73"/>
    <s v="PAUD MIFTAHUL ULUM"/>
    <m/>
    <n v="69915088"/>
    <x v="1"/>
    <s v="Karangtengah"/>
    <s v="CIHERANG"/>
    <s v="Swasta"/>
    <n v="26"/>
    <n v="20"/>
    <n v="24"/>
    <s v="CIHERANG 1"/>
    <s v="CIHERANG 1"/>
    <x v="12"/>
  </r>
  <r>
    <n v="74"/>
    <s v="PAUD NURUL IKHLAS"/>
    <m/>
    <n v="69923928"/>
    <x v="1"/>
    <s v="Karangtengah"/>
    <s v="CIHERANG"/>
    <s v="Swasta"/>
    <n v="26"/>
    <n v="27"/>
    <n v="27"/>
    <s v="CIHERANG 2"/>
    <s v="CIHERANG 2"/>
    <x v="5"/>
  </r>
  <r>
    <n v="75"/>
    <s v="PAUD SYAHIDAN"/>
    <m/>
    <n v="69913689"/>
    <x v="1"/>
    <s v="Karangtengah"/>
    <s v="SUKATARIS"/>
    <s v="Swasta"/>
    <n v="65"/>
    <n v="25"/>
    <n v="30"/>
    <s v="SINDANGLAKA 3"/>
    <s v="SUKATARIS"/>
    <x v="0"/>
  </r>
  <r>
    <n v="76"/>
    <s v="PAUD MELATI"/>
    <m/>
    <n v="69823720"/>
    <x v="2"/>
    <s v="Karangtengah"/>
    <s v="SINDANGLAKA"/>
    <s v="Swasta"/>
    <n v="39"/>
    <n v="36"/>
    <n v="41"/>
    <s v="SINDANGLAKA 3"/>
    <s v="SINDANGLAKA 3"/>
    <x v="19"/>
  </r>
  <r>
    <n v="77"/>
    <s v="PAUD AL HIDAYAH"/>
    <m/>
    <n v="69943792"/>
    <x v="2"/>
    <s v="Karangtengah"/>
    <s v="SABANDAR"/>
    <s v="Swasta"/>
    <n v="21"/>
    <n v="21"/>
    <n v="26"/>
    <s v="SABANDAR 2"/>
    <s v="SABANDAR 2"/>
    <x v="10"/>
  </r>
  <r>
    <n v="78"/>
    <s v="PAUD AL-IKHLAS"/>
    <m/>
    <n v="69823822"/>
    <x v="2"/>
    <s v="Karangtengah"/>
    <s v="SINDANGLAKA"/>
    <s v="Swasta"/>
    <n v="32"/>
    <n v="40"/>
    <n v="43"/>
    <s v="SINDANGLAKA 3"/>
    <s v="SINDANGLAKA 2"/>
    <x v="11"/>
  </r>
  <r>
    <n v="79"/>
    <s v="PAUD ASTER"/>
    <m/>
    <n v="69823738"/>
    <x v="2"/>
    <s v="Karangtengah"/>
    <s v="HEGARMANAH"/>
    <s v="Swasta"/>
    <n v="24"/>
    <n v="29"/>
    <n v="34"/>
    <s v="SINDANGLAKA 4"/>
    <s v="SUKAMANTRI"/>
    <x v="23"/>
  </r>
  <r>
    <n v="80"/>
    <s v="PAUD CEMPAKA"/>
    <m/>
    <n v="69911085"/>
    <x v="2"/>
    <s v="Karangtengah"/>
    <s v="HEGARMANAH"/>
    <s v="Swasta"/>
    <n v="20"/>
    <m/>
    <m/>
    <m/>
    <m/>
    <x v="20"/>
  </r>
  <r>
    <n v="81"/>
    <s v="PAUD DAHLIA"/>
    <m/>
    <n v="69911303"/>
    <x v="2"/>
    <s v="Karangtengah"/>
    <s v="CIHERANG"/>
    <s v="Swasta"/>
    <n v="56"/>
    <n v="56"/>
    <n v="56"/>
    <s v="CIHERANG 2"/>
    <s v="CIHERANG 2"/>
    <x v="5"/>
  </r>
  <r>
    <n v="82"/>
    <s v="PAUD MELATI"/>
    <m/>
    <n v="69943152"/>
    <x v="2"/>
    <s v="Karangtengah"/>
    <s v="HEGARMANAH"/>
    <s v="Swasta"/>
    <n v="32"/>
    <n v="32"/>
    <n v="35"/>
    <s v="SINDANGLAKA 4"/>
    <s v="SINDANGLAKA 4"/>
    <x v="9"/>
  </r>
  <r>
    <n v="83"/>
    <s v="PAUD MIFTAHUL MA ARIF"/>
    <n v="3"/>
    <n v="69918708"/>
    <x v="2"/>
    <s v="Karangtengah"/>
    <s v="SUKASARI"/>
    <s v="Swasta"/>
    <n v="34"/>
    <n v="36"/>
    <n v="40"/>
    <s v="SINDANGLAKA 4"/>
    <s v="BOJONG 5"/>
    <x v="22"/>
  </r>
  <r>
    <n v="84"/>
    <s v="PAUD NURUL HIKMAH"/>
    <m/>
    <n v="69823759"/>
    <x v="2"/>
    <s v="Karangtengah"/>
    <s v="SUKATARIS"/>
    <s v="Swasta"/>
    <n v="43"/>
    <n v="46"/>
    <n v="54"/>
    <s v="SUKATARIS"/>
    <s v="SUKATARIS"/>
    <x v="0"/>
  </r>
  <r>
    <n v="85"/>
    <s v="PAUD TERATAI"/>
    <m/>
    <n v="69943165"/>
    <x v="2"/>
    <s v="Karangtengah"/>
    <s v="MALEBER"/>
    <s v="Swasta"/>
    <n v="33"/>
    <n v="22"/>
    <n v="27"/>
    <s v="MALEBER"/>
    <s v="HEGARMANAH 2"/>
    <x v="16"/>
  </r>
  <r>
    <n v="86"/>
    <s v="POS PAUD ALMARWIYAH"/>
    <m/>
    <n v="69823697"/>
    <x v="2"/>
    <s v="Karangtengah"/>
    <s v="MALEBER"/>
    <s v="Swasta"/>
    <n v="17"/>
    <n v="14"/>
    <n v="16"/>
    <s v="MALEBER"/>
    <s v="MALEBER"/>
    <x v="1"/>
  </r>
  <r>
    <n v="87"/>
    <s v="POS PAUD AN-NURONIYYAH"/>
    <m/>
    <n v="69823701"/>
    <x v="2"/>
    <s v="Karangtengah"/>
    <s v="SUKAMULYA"/>
    <s v="Swasta"/>
    <n v="42"/>
    <n v="23"/>
    <n v="26"/>
    <s v="SINDANGLAKA 3"/>
    <s v="SINDANGLAKA 3"/>
    <x v="19"/>
  </r>
  <r>
    <n v="88"/>
    <s v="SPS SERUNI"/>
    <m/>
    <n v="69823674"/>
    <x v="2"/>
    <s v="Karangtengah"/>
    <s v="SUKATARIS"/>
    <s v="Swasta"/>
    <n v="29"/>
    <n v="20"/>
    <n v="23"/>
    <s v="SINDANGLAKA 3"/>
    <s v="SUKATARIS"/>
    <x v="0"/>
  </r>
  <r>
    <n v="89"/>
    <s v="SPS SIROJUL ATHFAL"/>
    <m/>
    <n v="70034616"/>
    <x v="2"/>
    <s v="Karangtengah"/>
    <s v="BABAKANCARINGIN"/>
    <s v="Swasta"/>
    <n v="54"/>
    <n v="57"/>
    <n v="59"/>
    <s v="SUKAMANTRI"/>
    <s v="SUKAMANTRI"/>
    <x v="8"/>
  </r>
  <r>
    <n v="90"/>
    <s v="SD NEGERI BABAKAN CARINGIN 1"/>
    <m/>
    <n v="20204307"/>
    <x v="3"/>
    <s v="Karangtengah"/>
    <s v="BABAKANCARINGIN"/>
    <s v="Negeri"/>
    <n v="202"/>
    <n v="227"/>
    <n v="241"/>
    <s v="SINDANGLAKA 1"/>
    <s v="CIHERANG 2"/>
    <x v="5"/>
  </r>
  <r>
    <n v="91"/>
    <s v="SD NEGERI BABAKAN CARINGIN 2"/>
    <m/>
    <n v="20204308"/>
    <x v="3"/>
    <s v="Karangtengah"/>
    <s v="BABAKANCARINGIN"/>
    <s v="Negeri"/>
    <n v="211"/>
    <n v="211"/>
    <n v="211"/>
    <s v="2KEC SUKALUYU"/>
    <s v="CIHERANG 2"/>
    <x v="5"/>
  </r>
  <r>
    <n v="92"/>
    <s v="SD NEGERI BABAKAN CARINGIN 3"/>
    <m/>
    <n v="20204322"/>
    <x v="3"/>
    <s v="Karangtengah"/>
    <s v="BABAKANCARINGIN"/>
    <s v="Negeri"/>
    <n v="236"/>
    <n v="236"/>
    <n v="246"/>
    <s v="SINDANGLAKA 4"/>
    <s v="CIHERANG 2"/>
    <x v="26"/>
  </r>
  <r>
    <n v="93"/>
    <s v="SD NEGERI BAROS"/>
    <m/>
    <n v="20204331"/>
    <x v="3"/>
    <s v="Karangtengah"/>
    <s v="SUKATARIS"/>
    <s v="Negeri"/>
    <n v="374"/>
    <n v="386"/>
    <n v="405"/>
    <s v="SINDANGLAKA 1"/>
    <s v="SINDANGLAKA 1"/>
    <x v="21"/>
  </r>
  <r>
    <n v="94"/>
    <s v="SD NEGERI BOJONG 1"/>
    <m/>
    <n v="20204250"/>
    <x v="3"/>
    <s v="Karangtengah"/>
    <s v="SABANDAR"/>
    <s v="Negeri"/>
    <n v="455"/>
    <n v="462"/>
    <n v="482"/>
    <s v="BOJONG 4"/>
    <s v="BOJONG 4"/>
    <x v="4"/>
  </r>
  <r>
    <n v="95"/>
    <s v="SD NEGERI BOJONG 2"/>
    <m/>
    <n v="20204251"/>
    <x v="3"/>
    <s v="Karangtengah"/>
    <s v="BOJONG"/>
    <s v="Negeri"/>
    <n v="634"/>
    <n v="643"/>
    <n v="674"/>
    <s v="BOJONG 1"/>
    <s v="BOJONG 1"/>
    <x v="2"/>
  </r>
  <r>
    <n v="96"/>
    <s v="SD NEGERI BOJONG 3"/>
    <m/>
    <n v="20204252"/>
    <x v="3"/>
    <s v="Karangtengah"/>
    <s v="BOJONG"/>
    <s v="Negeri"/>
    <n v="155"/>
    <n v="157"/>
    <n v="168"/>
    <s v="SABANDAR 2"/>
    <s v="BOJONG 4"/>
    <x v="16"/>
  </r>
  <r>
    <n v="97"/>
    <s v="SD NEGERI BOJONG 4"/>
    <n v="1"/>
    <n v="20204253"/>
    <x v="3"/>
    <s v="Karangtengah"/>
    <s v="BOJONG"/>
    <s v="Negeri"/>
    <n v="600"/>
    <n v="605"/>
    <n v="631"/>
    <s v="HEGARMANAH 1"/>
    <s v="BOJONG 4"/>
    <x v="4"/>
  </r>
  <r>
    <n v="98"/>
    <s v="SD NEGERI BOJONG 5"/>
    <m/>
    <n v="20204254"/>
    <x v="3"/>
    <s v="Karangtengah"/>
    <s v="BOJONG"/>
    <s v="Negeri"/>
    <n v="0"/>
    <m/>
    <m/>
    <m/>
    <m/>
    <x v="20"/>
  </r>
  <r>
    <n v="99"/>
    <s v="SD NEGERI CIHERANGKENCANA"/>
    <m/>
    <n v="20204990"/>
    <x v="3"/>
    <s v="Karangtengah"/>
    <s v="CIHERANG"/>
    <s v="Negeri"/>
    <n v="532"/>
    <n v="532"/>
    <n v="532"/>
    <s v="CIHERANG 2"/>
    <s v="CIHERANG 2"/>
    <x v="5"/>
  </r>
  <r>
    <n v="100"/>
    <s v="SD NEGERI CIJELER"/>
    <m/>
    <n v="20204973"/>
    <x v="3"/>
    <s v="Karangtengah"/>
    <s v="SUKAJADI"/>
    <s v="Negeri"/>
    <n v="220"/>
    <n v="220"/>
    <n v="220"/>
    <s v="2KEC SUKALUYU"/>
    <s v="SUKAJADI"/>
    <x v="7"/>
  </r>
  <r>
    <n v="101"/>
    <s v="SD NEGERI CIKANGKUNG"/>
    <m/>
    <n v="20205021"/>
    <x v="3"/>
    <s v="Karangtengah"/>
    <s v="SUKAJADI"/>
    <s v="Negeri"/>
    <n v="250"/>
    <n v="254"/>
    <n v="264"/>
    <s v="SUKAJADI"/>
    <s v="SUKAJADI"/>
    <x v="23"/>
  </r>
  <r>
    <n v="102"/>
    <s v="SD NEGERI CIKOLOTOK"/>
    <m/>
    <n v="20205001"/>
    <x v="3"/>
    <s v="Karangtengah"/>
    <s v="SUKAMULYA"/>
    <s v="Negeri"/>
    <n v="133"/>
    <n v="142"/>
    <n v="152"/>
    <s v="HEGARMANAH 1"/>
    <s v="HEGARMANAH 1"/>
    <x v="24"/>
  </r>
  <r>
    <n v="103"/>
    <s v="SD NEGERI CIMALATI"/>
    <m/>
    <n v="20204921"/>
    <x v="3"/>
    <s v="Karangtengah"/>
    <s v="LANGENSARI"/>
    <s v="Negeri"/>
    <n v="112"/>
    <n v="112"/>
    <n v="112"/>
    <s v="SUKASARI"/>
    <s v="SUKASARI"/>
    <x v="22"/>
  </r>
  <r>
    <n v="104"/>
    <s v="SD NEGERI CINTARESMI"/>
    <m/>
    <n v="20204968"/>
    <x v="3"/>
    <s v="Karangtengah"/>
    <s v="SUKAJADI"/>
    <s v="Negeri"/>
    <n v="283"/>
    <n v="289"/>
    <n v="303"/>
    <s v="SUKAJADI"/>
    <s v="SUKAJADI"/>
    <x v="7"/>
  </r>
  <r>
    <n v="105"/>
    <s v="SD NEGERI CIPADASUKA"/>
    <m/>
    <n v="20204949"/>
    <x v="3"/>
    <s v="Karangtengah"/>
    <s v="SUKASARANA"/>
    <s v="Negeri"/>
    <n v="205"/>
    <n v="205"/>
    <n v="218"/>
    <s v="CIHERANG 1"/>
    <s v="CIHERANG 1"/>
    <x v="23"/>
  </r>
  <r>
    <n v="106"/>
    <s v="SD NEGERI CITALANG"/>
    <m/>
    <n v="20204675"/>
    <x v="3"/>
    <s v="Karangtengah"/>
    <s v="SUKASARANA"/>
    <s v="Negeri"/>
    <n v="204"/>
    <n v="205"/>
    <n v="215"/>
    <s v="HEGARMANAH 1"/>
    <s v="HEGARMANAH 1"/>
    <x v="24"/>
  </r>
  <r>
    <n v="107"/>
    <s v="SD NEGERI CIWARU"/>
    <m/>
    <n v="20204603"/>
    <x v="3"/>
    <s v="Karangtengah"/>
    <s v="HEGARMANAH"/>
    <s v="Negeri"/>
    <n v="320"/>
    <n v="320"/>
    <n v="334"/>
    <s v="SINDANGLAKA 4"/>
    <s v="SINDANGLAKA 4"/>
    <x v="9"/>
  </r>
  <r>
    <n v="108"/>
    <s v="SD NEGERI GADUNG"/>
    <m/>
    <n v="20204595"/>
    <x v="3"/>
    <s v="Karangtengah"/>
    <s v="SUKATARIS"/>
    <s v="Negeri"/>
    <n v="118"/>
    <n v="119"/>
    <n v="130"/>
    <s v="SUKATARIS"/>
    <s v="SUKATARIS"/>
    <x v="0"/>
  </r>
  <r>
    <n v="109"/>
    <s v="SD NEGERI HEGARMANAH"/>
    <m/>
    <n v="20204780"/>
    <x v="3"/>
    <s v="Karangtengah"/>
    <s v="HEGARMANAH"/>
    <s v="Negeri"/>
    <n v="192"/>
    <n v="198"/>
    <n v="210"/>
    <s v="HEGARMANAH 1"/>
    <s v="HEGARMANAH 1"/>
    <x v="24"/>
  </r>
  <r>
    <n v="110"/>
    <s v="SD NEGERI KARANGTENGAH"/>
    <m/>
    <n v="20203551"/>
    <x v="3"/>
    <s v="Karangtengah"/>
    <s v="CIHERANG"/>
    <s v="Negeri"/>
    <n v="413"/>
    <n v="418"/>
    <n v="418"/>
    <s v="CIHERANG 2"/>
    <s v="CIHERANG 2"/>
    <x v="5"/>
  </r>
  <r>
    <n v="111"/>
    <s v="SD NEGERI KEBONPALA"/>
    <n v="0"/>
    <n v="20203578"/>
    <x v="3"/>
    <s v="Karangtengah"/>
    <s v="BOJONG"/>
    <s v="Negeri"/>
    <n v="293"/>
    <n v="295"/>
    <n v="313"/>
    <s v="BOJONG 4"/>
    <s v="BOJONG 5"/>
    <x v="16"/>
  </r>
  <r>
    <n v="112"/>
    <s v="SD NEGERI KOPO"/>
    <m/>
    <n v="20204710"/>
    <x v="3"/>
    <s v="Karangtengah"/>
    <s v="SUKATARIS"/>
    <s v="Negeri"/>
    <n v="154"/>
    <n v="156"/>
    <n v="167"/>
    <s v="SUKATARIS"/>
    <s v="SUKATARIS"/>
    <x v="0"/>
  </r>
  <r>
    <n v="113"/>
    <s v="SD NEGERI LANGENSARI"/>
    <m/>
    <n v="20203476"/>
    <x v="3"/>
    <s v="Karangtengah"/>
    <s v="LANGENSARI"/>
    <s v="Negeri"/>
    <n v="191"/>
    <n v="193"/>
    <n v="204"/>
    <s v="SINDANGLAKA 4"/>
    <s v="SUKASARI"/>
    <x v="22"/>
  </r>
  <r>
    <n v="114"/>
    <s v="SD NEGERI LIO 1"/>
    <m/>
    <n v="20203524"/>
    <x v="3"/>
    <s v="Karangtengah"/>
    <s v="CIHERANG"/>
    <s v="Negeri"/>
    <n v="231"/>
    <n v="235"/>
    <n v="245"/>
    <s v="CIHERANG 1"/>
    <s v="CIHERANG 1"/>
    <x v="12"/>
  </r>
  <r>
    <n v="115"/>
    <s v="SD NEGERI LIO 2"/>
    <m/>
    <n v="20203525"/>
    <x v="3"/>
    <s v="Karangtengah"/>
    <s v="CIHERANG"/>
    <s v="Negeri"/>
    <n v="156"/>
    <n v="158"/>
    <n v="169"/>
    <s v="CIHERANG 1"/>
    <s v="CIHERANG 1"/>
    <x v="12"/>
  </r>
  <r>
    <n v="116"/>
    <s v="SD NEGERI MALEBER 1"/>
    <m/>
    <n v="20203513"/>
    <x v="3"/>
    <s v="Karangtengah"/>
    <s v="MALEBER"/>
    <s v="Negeri"/>
    <n v="689"/>
    <n v="690"/>
    <n v="712"/>
    <s v="MALEBER"/>
    <s v="HEGARMANAH 2"/>
    <x v="25"/>
  </r>
  <r>
    <n v="117"/>
    <s v="SD NEGERI MALEBER 3"/>
    <m/>
    <n v="20203527"/>
    <x v="3"/>
    <s v="Karangtengah"/>
    <s v="MALEBER"/>
    <s v="Negeri"/>
    <n v="269"/>
    <n v="271"/>
    <n v="283"/>
    <s v="MALEBER"/>
    <s v="MALEBER"/>
    <x v="1"/>
  </r>
  <r>
    <n v="118"/>
    <s v="SD NEGERI MALEBER 4"/>
    <m/>
    <n v="20203584"/>
    <x v="3"/>
    <s v="Karangtengah"/>
    <s v="MALEBER"/>
    <s v="Negeri"/>
    <n v="262"/>
    <n v="263"/>
    <n v="280"/>
    <s v="HEGARMANAH 2"/>
    <s v="HEGARMANAH 2"/>
    <x v="25"/>
  </r>
  <r>
    <n v="119"/>
    <s v="SD NEGERI MARGALUYU 1"/>
    <m/>
    <n v="20203641"/>
    <x v="3"/>
    <s v="Karangtengah"/>
    <s v="LANGENSARI"/>
    <s v="Negeri"/>
    <n v="120"/>
    <n v="122"/>
    <n v="130"/>
    <s v="SUKASARI"/>
    <s v="SUKASARI"/>
    <x v="13"/>
  </r>
  <r>
    <n v="120"/>
    <s v="SD NEGERI MARGALUYU 2"/>
    <m/>
    <n v="20203642"/>
    <x v="3"/>
    <s v="Karangtengah"/>
    <s v="LANGENSARI"/>
    <s v="Negeri"/>
    <n v="217"/>
    <n v="217"/>
    <n v="228"/>
    <s v="SUKASARI"/>
    <s v="SUKASARI"/>
    <x v="13"/>
  </r>
  <r>
    <n v="121"/>
    <s v="SD NEGERI MEKARJAYA"/>
    <m/>
    <n v="20203687"/>
    <x v="3"/>
    <s v="Karangtengah"/>
    <s v="SABANDAR"/>
    <s v="Negeri"/>
    <n v="183"/>
    <n v="186"/>
    <n v="199"/>
    <s v="BOJONG 2"/>
    <s v="BOJONG 2"/>
    <x v="16"/>
  </r>
  <r>
    <n v="122"/>
    <s v="SD NEGERI PERUMNAS 1"/>
    <m/>
    <n v="20203285"/>
    <x v="3"/>
    <s v="Karangtengah"/>
    <s v="HEGARMANAH"/>
    <s v="Negeri"/>
    <n v="211"/>
    <n v="214"/>
    <n v="226"/>
    <s v="HEGARMANAH 3"/>
    <s v="HEGARMANAH 3"/>
    <x v="17"/>
  </r>
  <r>
    <n v="123"/>
    <s v="SD NEGERI PERUMNAS 2"/>
    <m/>
    <n v="20203286"/>
    <x v="3"/>
    <s v="Karangtengah"/>
    <s v="HEGARMANAH"/>
    <s v="Negeri"/>
    <n v="208"/>
    <n v="211"/>
    <n v="222"/>
    <s v="HEGARMANAH 3"/>
    <s v="HEGARMANAH 3"/>
    <x v="17"/>
  </r>
  <r>
    <n v="124"/>
    <s v="SD NEGERI SABANDAR"/>
    <m/>
    <n v="20203422"/>
    <x v="3"/>
    <s v="Karangtengah"/>
    <s v="SABANDAR"/>
    <s v="Negeri"/>
    <n v="218"/>
    <n v="218"/>
    <n v="229"/>
    <s v="SABANDAR 2"/>
    <s v="SABANDAR 2"/>
    <x v="10"/>
  </r>
  <r>
    <n v="125"/>
    <s v="SD NEGERI SINDANGASIH"/>
    <m/>
    <n v="20203382"/>
    <x v="3"/>
    <s v="Karangtengah"/>
    <s v="SINDANGASIH"/>
    <s v="Negeri"/>
    <n v="240"/>
    <n v="240"/>
    <n v="253"/>
    <s v="SINDANGASIH"/>
    <s v="SINDANGASIH"/>
    <x v="15"/>
  </r>
  <r>
    <n v="126"/>
    <s v="SD NEGERI SINDANGJAYA"/>
    <m/>
    <n v="20203403"/>
    <x v="3"/>
    <s v="Karangtengah"/>
    <s v="SINDANGLAKA"/>
    <s v="Negeri"/>
    <n v="218"/>
    <n v="220"/>
    <n v="230"/>
    <s v="SINDANGLAKA 1"/>
    <s v="SINDANGLAKA 1"/>
    <x v="21"/>
  </r>
  <r>
    <n v="127"/>
    <s v="SD NEGERI SINDANGLAKA"/>
    <m/>
    <n v="20203385"/>
    <x v="3"/>
    <s v="Karangtengah"/>
    <s v="SINDANGLAKA"/>
    <s v="Negeri"/>
    <n v="273"/>
    <n v="275"/>
    <n v="286"/>
    <s v="SINDANGLAKA 1"/>
    <s v="SINDANGLAKA 1"/>
    <x v="21"/>
  </r>
  <r>
    <n v="128"/>
    <s v="SD NEGERI SINDANGSARI"/>
    <m/>
    <n v="20203985"/>
    <x v="3"/>
    <s v="Karangtengah"/>
    <s v="SINDANGLAKA"/>
    <s v="Negeri"/>
    <n v="117"/>
    <n v="123"/>
    <n v="132"/>
    <s v="SINDANGLAKA 1"/>
    <s v="SINDANGLAKA 1"/>
    <x v="21"/>
  </r>
  <r>
    <n v="129"/>
    <s v="SD NEGERI SUKAJADI"/>
    <m/>
    <n v="20203931"/>
    <x v="3"/>
    <s v="Karangtengah"/>
    <s v="SUKAMANAH"/>
    <s v="Negeri"/>
    <n v="398"/>
    <n v="422"/>
    <n v="441"/>
    <s v="BOJONG 2"/>
    <s v="BOJONG 2"/>
    <x v="18"/>
  </r>
  <r>
    <n v="130"/>
    <s v="SD NEGERI SUKAMAJU"/>
    <m/>
    <n v="20203954"/>
    <x v="3"/>
    <s v="Karangtengah"/>
    <s v="SUKAMANAH"/>
    <s v="Negeri"/>
    <n v="155"/>
    <n v="160"/>
    <n v="171"/>
    <s v="BOJONG 3"/>
    <s v="BOJONG 3"/>
    <x v="14"/>
  </r>
  <r>
    <n v="131"/>
    <s v="SD NEGERI SUKAMANAH 1"/>
    <m/>
    <n v="20203942"/>
    <x v="3"/>
    <s v="Karangtengah"/>
    <s v="SUKAMANAH"/>
    <s v="Negeri"/>
    <n v="260"/>
    <n v="265"/>
    <n v="278"/>
    <s v="BOJONG 3"/>
    <s v="BOJONG 3"/>
    <x v="14"/>
  </r>
  <r>
    <n v="132"/>
    <s v="SD NEGERI SUKAMANAH 3"/>
    <m/>
    <n v="20203946"/>
    <x v="3"/>
    <s v="Karangtengah"/>
    <s v="SINDANGASIH"/>
    <s v="Negeri"/>
    <n v="477"/>
    <n v="483"/>
    <n v="503"/>
    <s v="BOJONG 3"/>
    <s v="BOJONG 3"/>
    <x v="14"/>
  </r>
  <r>
    <n v="133"/>
    <s v="SD NEGERI SUKAMANTRI 1"/>
    <m/>
    <n v="20203947"/>
    <x v="3"/>
    <s v="Karangtengah"/>
    <s v="SUKAMANTRI"/>
    <s v="Negeri"/>
    <n v="230"/>
    <n v="239"/>
    <n v="251"/>
    <s v="SINDANGLAKA 1"/>
    <s v="SINDANGLAKA 1"/>
    <x v="21"/>
  </r>
  <r>
    <n v="134"/>
    <s v="SD NEGERI SUKAMANTRI 2"/>
    <m/>
    <n v="20203948"/>
    <x v="3"/>
    <s v="Karangtengah"/>
    <s v="SUKAMULYA"/>
    <s v="Negeri"/>
    <n v="318"/>
    <n v="321"/>
    <n v="333"/>
    <s v="HEGARMANAH 3"/>
    <s v="HEGARMANAH 3"/>
    <x v="17"/>
  </r>
  <r>
    <n v="135"/>
    <s v="SD NEGERI SUKAMANTRI 3"/>
    <m/>
    <n v="20203949"/>
    <x v="3"/>
    <s v="Karangtengah"/>
    <s v="SUKAMANTRI"/>
    <s v="Negeri"/>
    <n v="319"/>
    <n v="322"/>
    <n v="332"/>
    <s v="SUKAMANTRI"/>
    <s v="SUKAMANTRI"/>
    <x v="23"/>
  </r>
  <r>
    <n v="136"/>
    <s v="SD NEGERI SUKAMULYA"/>
    <m/>
    <n v="20204093"/>
    <x v="3"/>
    <s v="Karangtengah"/>
    <s v="SUKAMULYA"/>
    <s v="Negeri"/>
    <n v="212"/>
    <n v="214"/>
    <n v="224"/>
    <s v="SINDANGLAKA 1"/>
    <s v="SINDANGLAKA 1"/>
    <x v="21"/>
  </r>
  <r>
    <n v="137"/>
    <s v="SD NEGERI SUKASARANA"/>
    <m/>
    <n v="20204108"/>
    <x v="3"/>
    <s v="Karangtengah"/>
    <s v="SUKASARANA"/>
    <s v="Negeri"/>
    <n v="253"/>
    <n v="253"/>
    <n v="263"/>
    <s v="HEGARMANAH 3"/>
    <s v="HEGARMANAH 3"/>
    <x v="17"/>
  </r>
  <r>
    <n v="138"/>
    <s v="SD NEGERI SUKASARI 1"/>
    <m/>
    <n v="20204116"/>
    <x v="3"/>
    <s v="Karangtengah"/>
    <s v="SUKASARI"/>
    <s v="Negeri"/>
    <n v="159"/>
    <n v="159"/>
    <n v="159"/>
    <s v="SUKASARI"/>
    <s v="SUKASARI"/>
    <x v="22"/>
  </r>
  <r>
    <n v="139"/>
    <s v="SD NEGERI SUKASARI 2"/>
    <m/>
    <n v="20204117"/>
    <x v="3"/>
    <s v="Karangtengah"/>
    <s v="SUKASARI"/>
    <s v="Negeri"/>
    <n v="195"/>
    <n v="195"/>
    <n v="195"/>
    <s v="SUKASARI"/>
    <s v="SUKASARI"/>
    <x v="15"/>
  </r>
  <r>
    <n v="140"/>
    <s v="SD NEGERI SUKASARI 3"/>
    <m/>
    <n v="20204132"/>
    <x v="3"/>
    <s v="Karangtengah"/>
    <s v="SUKASARI"/>
    <s v="Negeri"/>
    <n v="409"/>
    <n v="413"/>
    <n v="413"/>
    <s v="SUKASARI"/>
    <s v="SUKASARI"/>
    <x v="15"/>
  </r>
  <r>
    <n v="141"/>
    <s v="SD NEGERI SUKASARI 4"/>
    <m/>
    <n v="20204077"/>
    <x v="3"/>
    <s v="Karangtengah"/>
    <s v="SUKASARI"/>
    <s v="Negeri"/>
    <n v="185"/>
    <n v="183"/>
    <n v="183"/>
    <s v="SUKASARI"/>
    <s v="SUKASARI"/>
    <x v="22"/>
  </r>
  <r>
    <n v="142"/>
    <s v="SD NEGERI SUKASIRNA"/>
    <m/>
    <n v="20204040"/>
    <x v="3"/>
    <s v="Karangtengah"/>
    <s v="SABANDAR"/>
    <s v="Negeri"/>
    <n v="167"/>
    <n v="168"/>
    <n v="182"/>
    <s v="BOJONG 4"/>
    <s v="BOJONG 4"/>
    <x v="4"/>
  </r>
  <r>
    <n v="143"/>
    <s v="SD NEGERI SUKATARIS"/>
    <m/>
    <n v="20204026"/>
    <x v="3"/>
    <s v="Karangtengah"/>
    <s v="SUKATARIS"/>
    <s v="Negeri"/>
    <n v="574"/>
    <n v="577"/>
    <n v="604"/>
    <s v="SUKATARIS"/>
    <s v="SUKATARIS"/>
    <x v="0"/>
  </r>
  <r>
    <n v="144"/>
    <s v="SD NEGERI TIPAR"/>
    <m/>
    <n v="20203774"/>
    <x v="3"/>
    <s v="Karangtengah"/>
    <s v="HEGARMANAH"/>
    <s v="Negeri"/>
    <n v="251"/>
    <n v="252"/>
    <n v="265"/>
    <s v="HEGARMANAH 1"/>
    <s v="HEGARMANAH 1"/>
    <x v="24"/>
  </r>
  <r>
    <n v="145"/>
    <s v="SD AL QURAN DAN SAINS UMI KULTSUM RS"/>
    <m/>
    <n v="70033308"/>
    <x v="3"/>
    <s v="Karangtengah"/>
    <s v="MALEBER"/>
    <s v="Swasta"/>
    <n v="101"/>
    <n v="100"/>
    <n v="133"/>
    <s v="SUKAMANTRI"/>
    <s v="HEGARMANAH 2"/>
    <x v="25"/>
  </r>
  <r>
    <n v="146"/>
    <s v="SD AN NASHIR ISLAMIC PRIMARY SCHOOL"/>
    <m/>
    <n v="70052680"/>
    <x v="3"/>
    <s v="Karangtengah"/>
    <s v="HEGARMANAH"/>
    <s v="Swasta"/>
    <n v="67"/>
    <n v="67"/>
    <n v="67"/>
    <s v="0MENOLAK"/>
    <s v="0MENOLAK"/>
    <x v="6"/>
  </r>
  <r>
    <n v="147"/>
    <s v="SD AT-THOBI IYYAH"/>
    <m/>
    <n v="69978770"/>
    <x v="3"/>
    <s v="Karangtengah"/>
    <s v="SUKAMANTRI"/>
    <s v="Swasta"/>
    <n v="70"/>
    <n v="84"/>
    <n v="87"/>
    <s v="SUKAMANTRI"/>
    <s v="SUKAMANTRI"/>
    <x v="8"/>
  </r>
  <r>
    <n v="148"/>
    <s v="SD BUNGA PERSADA"/>
    <m/>
    <n v="70000174"/>
    <x v="3"/>
    <s v="Karangtengah"/>
    <s v="SUKAMULYA"/>
    <s v="Swasta"/>
    <n v="164"/>
    <n v="168"/>
    <n v="186"/>
    <s v="SINDANGLAKA 2"/>
    <s v="SINDANGLAKA 2"/>
    <x v="11"/>
  </r>
  <r>
    <n v="149"/>
    <s v="SD GLOBAL ISLAMIC SCHOOL AL-MOCHTAR"/>
    <m/>
    <n v="70000064"/>
    <x v="3"/>
    <s v="Karangtengah"/>
    <s v="BOJONG"/>
    <s v="Swasta"/>
    <n v="164"/>
    <n v="218"/>
    <n v="189"/>
    <s v="BOJONG 1"/>
    <s v="BOJONG 1"/>
    <x v="2"/>
  </r>
  <r>
    <n v="150"/>
    <s v="SD INNOVATIVE SCHOOL CIANJUR"/>
    <m/>
    <n v="70004357"/>
    <x v="3"/>
    <s v="Karangtengah"/>
    <s v="MALEBER"/>
    <s v="Swasta"/>
    <n v="148"/>
    <n v="153"/>
    <n v="171"/>
    <s v="HEGARMANAH 2"/>
    <s v="MALEBER"/>
    <x v="1"/>
  </r>
  <r>
    <n v="151"/>
    <s v="SD ISLAM BAITUL IHSAN"/>
    <m/>
    <n v="70046381"/>
    <x v="3"/>
    <s v="Karangtengah"/>
    <s v="SABANDAR"/>
    <s v="Swasta"/>
    <n v="57"/>
    <n v="58"/>
    <n v="69"/>
    <s v="HEGARMANAH 3"/>
    <s v="HEGARMANAH 3"/>
    <x v="17"/>
  </r>
  <r>
    <n v="152"/>
    <s v="SD ISLAM CENDEKIA CIANJUR"/>
    <m/>
    <n v="70034501"/>
    <x v="3"/>
    <s v="Karangtengah"/>
    <s v="SINDANGLAKA"/>
    <s v="Swasta"/>
    <n v="304"/>
    <n v="304"/>
    <n v="304"/>
    <s v="0DITANGGUHKAN"/>
    <s v="0DITANGGUHKAN"/>
    <x v="3"/>
  </r>
  <r>
    <n v="153"/>
    <s v="SD IT AL-MUMTAAZ"/>
    <m/>
    <n v="70031171"/>
    <x v="3"/>
    <s v="Karangtengah"/>
    <s v="SUKASARANA"/>
    <s v="Swasta"/>
    <n v="54"/>
    <n v="62"/>
    <n v="69"/>
    <s v="CIHERANG 1"/>
    <s v="CIHERANG 1"/>
    <x v="12"/>
  </r>
  <r>
    <n v="154"/>
    <s v="SDS KARAKTER AL-ADZKIYA"/>
    <m/>
    <n v="60726619"/>
    <x v="3"/>
    <s v="Karangtengah"/>
    <s v="SINDANGLAKA"/>
    <s v="Swasta"/>
    <n v="252"/>
    <n v="252"/>
    <n v="267"/>
    <s v="SINDANGLAKA 1"/>
    <s v="SINDANGLAKA 1"/>
    <x v="21"/>
  </r>
  <r>
    <n v="155"/>
    <s v="SMP NEGERI 1 KARANGTENGAH"/>
    <m/>
    <n v="20203896"/>
    <x v="4"/>
    <s v="Karangtengah"/>
    <s v="HEGARMANAH"/>
    <s v="Negeri"/>
    <n v="1347"/>
    <n v="1399"/>
    <n v="1402"/>
    <s v="SUKAMANTRI"/>
    <s v="SUKAMANTRI"/>
    <x v="8"/>
  </r>
  <r>
    <n v="156"/>
    <s v="SMP NEGERI 2 KARANGTENGAH"/>
    <m/>
    <n v="20203809"/>
    <x v="4"/>
    <s v="Karangtengah"/>
    <s v="SUKATARIS"/>
    <s v="Negeri"/>
    <n v="1322"/>
    <n v="1326"/>
    <n v="1390"/>
    <s v="SINDANGLAKA 3"/>
    <s v="SINDANGLAKA 3"/>
    <x v="19"/>
  </r>
  <r>
    <n v="157"/>
    <s v="SMP NEGERI 3 KARANGTENGAH"/>
    <n v="5"/>
    <n v="20203843"/>
    <x v="4"/>
    <s v="Karangtengah"/>
    <s v="SUKASARI"/>
    <s v="Negeri"/>
    <n v="963"/>
    <n v="973"/>
    <n v="1011"/>
    <s v="SINDANGASIH"/>
    <s v="BOJONG 5"/>
    <x v="22"/>
  </r>
  <r>
    <n v="158"/>
    <s v="SMP NEGERI 4 KARANGTENGAH"/>
    <m/>
    <n v="20253851"/>
    <x v="4"/>
    <s v="Karangtengah"/>
    <s v="CIHERANG"/>
    <s v="Negeri"/>
    <n v="204"/>
    <n v="206"/>
    <n v="206"/>
    <s v="CIHERANG 2"/>
    <s v="CIHERANG 1"/>
    <x v="23"/>
  </r>
  <r>
    <n v="159"/>
    <s v="SMP AL-MAMOEN"/>
    <m/>
    <n v="69820508"/>
    <x v="4"/>
    <s v="Karangtengah"/>
    <s v="SABANDAR"/>
    <s v="Swasta"/>
    <n v="537"/>
    <n v="542"/>
    <n v="579"/>
    <s v="SINDANGLAKA 4"/>
    <s v="SINDANGLAKA 4"/>
    <x v="9"/>
  </r>
  <r>
    <n v="160"/>
    <s v="SMP BAITUL ULUM BOARDING SCHOOL"/>
    <m/>
    <n v="70036767"/>
    <x v="4"/>
    <s v="Karangtengah"/>
    <s v="BOJONG"/>
    <s v="Swasta"/>
    <n v="80"/>
    <n v="83"/>
    <n v="90"/>
    <s v="HEGARMANAH 1"/>
    <s v="BOJONG 1"/>
    <x v="2"/>
  </r>
  <r>
    <n v="161"/>
    <s v="SMP BUNGA PERSADA CIANJUR"/>
    <m/>
    <n v="70032325"/>
    <x v="4"/>
    <s v="Karangtengah"/>
    <s v="BOJONG"/>
    <s v="Swasta"/>
    <n v="30"/>
    <n v="32"/>
    <n v="48"/>
    <s v="SINDANGLAKA 2"/>
    <s v="SINDANGLAKA 2"/>
    <x v="11"/>
  </r>
  <r>
    <n v="162"/>
    <s v="SMP FANSAFATTAH RAHMANIYAH"/>
    <m/>
    <n v="70046116"/>
    <x v="4"/>
    <s v="Karangtengah"/>
    <s v="SABANDAR"/>
    <s v="Swasta"/>
    <n v="78"/>
    <n v="78"/>
    <n v="94"/>
    <s v="BOJONG 4"/>
    <s v="BOJONG 4"/>
    <x v="4"/>
  </r>
  <r>
    <n v="163"/>
    <s v="SMP I ISLAMIYAH KOPO KARANGTENGAH"/>
    <m/>
    <n v="60733399"/>
    <x v="4"/>
    <s v="Karangtengah"/>
    <s v="SUKAMANAH"/>
    <s v="Swasta"/>
    <n v="48"/>
    <n v="51"/>
    <n v="58"/>
    <s v="HEGARMANAH 2"/>
    <s v="HEGARMANAH 2"/>
    <x v="25"/>
  </r>
  <r>
    <n v="164"/>
    <s v="SMP INNOVATIVE SCHOOL CIANJUR"/>
    <m/>
    <n v="70004356"/>
    <x v="4"/>
    <s v="Karangtengah"/>
    <s v="MALEBER"/>
    <s v="Swasta"/>
    <n v="66"/>
    <n v="67"/>
    <n v="78"/>
    <s v="HEGARMANAH 2"/>
    <s v="MALEBER"/>
    <x v="1"/>
  </r>
  <r>
    <n v="165"/>
    <s v="SMP ISLAM CENDEKIA"/>
    <m/>
    <n v="60728959"/>
    <x v="4"/>
    <s v="Karangtengah"/>
    <s v="SINDANGLAKA"/>
    <s v="Swasta"/>
    <n v="258"/>
    <n v="258"/>
    <n v="258"/>
    <s v="0DITANGGUHKAN"/>
    <s v="0DITANGGUHKAN"/>
    <x v="3"/>
  </r>
  <r>
    <n v="166"/>
    <s v="SMP ISLAM MITRA AL KHAIDIR BOARDING SCHOOL"/>
    <m/>
    <n v="69973886"/>
    <x v="4"/>
    <s v="Karangtengah"/>
    <s v="BABAKANCARINGIN"/>
    <s v="Swasta"/>
    <n v="73"/>
    <n v="60"/>
    <n v="86"/>
    <s v="CIHERANG 2"/>
    <s v="CIHERANG 2"/>
    <x v="26"/>
  </r>
  <r>
    <n v="167"/>
    <s v="SMP ISLAM NURUL HIKMAH"/>
    <m/>
    <n v="70050026"/>
    <x v="4"/>
    <s v="Karangtengah"/>
    <s v="SUKASARANA"/>
    <s v="Swasta"/>
    <n v="47"/>
    <n v="49"/>
    <n v="52"/>
    <s v="SUKAMANTRI"/>
    <s v="SUKAMANTRI"/>
    <x v="8"/>
  </r>
  <r>
    <n v="168"/>
    <s v="SMP ISLAM QUBA"/>
    <m/>
    <n v="70041233"/>
    <x v="4"/>
    <s v="Karangtengah"/>
    <s v="CIHERANG"/>
    <s v="Swasta"/>
    <n v="23"/>
    <n v="27"/>
    <n v="37"/>
    <s v="CIHERANG 1"/>
    <s v="CIHERANG 1"/>
    <x v="12"/>
  </r>
  <r>
    <n v="169"/>
    <s v="SMP ISLAM SULAIMANIYYAH"/>
    <m/>
    <n v="69933277"/>
    <x v="4"/>
    <s v="Karangtengah"/>
    <s v="SUKASARI"/>
    <s v="Swasta"/>
    <n v="88"/>
    <n v="65"/>
    <n v="73"/>
    <s v="BOJONG 3"/>
    <s v="SUKASARI"/>
    <x v="22"/>
  </r>
  <r>
    <n v="170"/>
    <s v="SMP IT DAAR EL MUMTAAZ"/>
    <m/>
    <n v="69932393"/>
    <x v="4"/>
    <s v="Karangtengah"/>
    <s v="SUKASARANA"/>
    <s v="Swasta"/>
    <n v="124"/>
    <n v="151"/>
    <n v="163"/>
    <s v="CIHERANG 1"/>
    <s v="CIHERANG 1"/>
    <x v="12"/>
  </r>
  <r>
    <n v="171"/>
    <s v="SMP IT DAARUL MUTTAQIN"/>
    <m/>
    <n v="70004220"/>
    <x v="4"/>
    <s v="Karangtengah"/>
    <s v="MALEBER"/>
    <s v="Swasta"/>
    <n v="544"/>
    <n v="554"/>
    <n v="575"/>
    <s v="MALEBER"/>
    <s v="MALEBER"/>
    <x v="1"/>
  </r>
  <r>
    <n v="172"/>
    <s v="SMP IT DAARUTTAQWA ASYAMSURIYYAH"/>
    <m/>
    <n v="70001153"/>
    <x v="4"/>
    <s v="Karangtengah"/>
    <s v="SABANDAR"/>
    <s v="Swasta"/>
    <n v="158"/>
    <n v="160"/>
    <n v="174"/>
    <s v="BOJONG 4"/>
    <s v="BOJONG 4"/>
    <x v="4"/>
  </r>
  <r>
    <n v="173"/>
    <s v="SMP IT IZZUL ISLAM"/>
    <m/>
    <n v="60725320"/>
    <x v="4"/>
    <s v="Karangtengah"/>
    <s v="SUKAMANAH"/>
    <s v="Swasta"/>
    <n v="152"/>
    <n v="281"/>
    <n v="170"/>
    <s v="SINDANGLAKA 4"/>
    <s v="SINDANGASIH"/>
    <x v="13"/>
  </r>
  <r>
    <n v="174"/>
    <s v="SMP IT MANDIRI BERSEMI"/>
    <m/>
    <n v="60729091"/>
    <x v="4"/>
    <s v="Karangtengah"/>
    <s v="BOJONG"/>
    <s v="Swasta"/>
    <n v="273"/>
    <n v="273"/>
    <n v="288"/>
    <s v="BOJONG 1"/>
    <s v="BOJONG 1"/>
    <x v="2"/>
  </r>
  <r>
    <n v="175"/>
    <s v="SMP IT NAJMULQURA"/>
    <m/>
    <n v="70041235"/>
    <x v="4"/>
    <s v="Karangtengah"/>
    <s v="BOJONG"/>
    <s v="Swasta"/>
    <n v="100"/>
    <n v="110"/>
    <n v="110"/>
    <s v="BOJONG 1"/>
    <s v="BOJONG 1"/>
    <x v="2"/>
  </r>
  <r>
    <n v="176"/>
    <s v="SMP IT SYAMSUL HUDA"/>
    <m/>
    <n v="70035672"/>
    <x v="4"/>
    <s v="Karangtengah"/>
    <s v="BOJONG"/>
    <s v="Swasta"/>
    <n v="84"/>
    <n v="84"/>
    <n v="84"/>
    <s v="BOJONG 5"/>
    <s v="SINDANGLAKA 3"/>
    <x v="19"/>
  </r>
  <r>
    <n v="177"/>
    <s v="SMP PGRI KARANGTENGAH"/>
    <m/>
    <n v="60733400"/>
    <x v="4"/>
    <s v="Karangtengah"/>
    <s v="MALEBER"/>
    <s v="Swasta"/>
    <n v="88"/>
    <n v="88"/>
    <n v="100"/>
    <s v="MALEBER"/>
    <s v="MALEBER"/>
    <x v="1"/>
  </r>
  <r>
    <n v="178"/>
    <s v="SMP PLUS AT-TANWIIR"/>
    <m/>
    <n v="70034530"/>
    <x v="4"/>
    <s v="Karangtengah"/>
    <s v="MALEBER"/>
    <s v="Swasta"/>
    <n v="51"/>
    <m/>
    <m/>
    <m/>
    <m/>
    <x v="20"/>
  </r>
  <r>
    <n v="179"/>
    <s v="SMP PLUS GENQU CIANJUR"/>
    <m/>
    <n v="70036789"/>
    <x v="4"/>
    <s v="Karangtengah"/>
    <s v="MALEBER"/>
    <s v="Swasta"/>
    <n v="63"/>
    <m/>
    <m/>
    <m/>
    <m/>
    <x v="20"/>
  </r>
  <r>
    <n v="180"/>
    <s v="SMP PLUS AL-ITTIHAD"/>
    <m/>
    <n v="20203880"/>
    <x v="4"/>
    <s v="Karangtengah"/>
    <s v="BOJONG"/>
    <s v="Swasta"/>
    <n v="1049"/>
    <n v="1051"/>
    <n v="1063"/>
    <s v="BOJONG 2"/>
    <s v="BOJONG 2"/>
    <x v="18"/>
  </r>
  <r>
    <n v="181"/>
    <s v="SMP TAHFIDZ AL-MUCHTARIAH"/>
    <m/>
    <n v="69984093"/>
    <x v="4"/>
    <s v="Karangtengah"/>
    <s v="CIHERANG"/>
    <s v="Swasta"/>
    <n v="44"/>
    <n v="30"/>
    <n v="45"/>
    <s v="CIHERANG 1"/>
    <s v="CIHERANG 1"/>
    <x v="12"/>
  </r>
  <r>
    <n v="182"/>
    <s v="SMPS ISLAM TERPADU AL-MADINAH"/>
    <m/>
    <n v="69820103"/>
    <x v="4"/>
    <s v="Karangtengah"/>
    <s v="CIHERANG"/>
    <s v="Swasta"/>
    <n v="237"/>
    <n v="243"/>
    <n v="259"/>
    <s v="CIHERANG 1"/>
    <s v="CIHERANG 1"/>
    <x v="12"/>
  </r>
  <r>
    <n v="183"/>
    <s v="SMPS IT AL-AMIN"/>
    <m/>
    <n v="69786496"/>
    <x v="4"/>
    <s v="Karangtengah"/>
    <s v="SINDANGLAKA"/>
    <s v="Swasta"/>
    <n v="97"/>
    <n v="100"/>
    <n v="115"/>
    <s v="SINDANGLAKA 3"/>
    <s v="SINDANGLAKA 3"/>
    <x v="19"/>
  </r>
  <r>
    <n v="184"/>
    <s v="SMAN 1 KARANG TENGAH"/>
    <m/>
    <n v="69964390"/>
    <x v="5"/>
    <s v="Karangtengah"/>
    <s v="SUKASARANA"/>
    <s v="Negeri"/>
    <n v="494"/>
    <n v="493"/>
    <n v="536"/>
    <s v="HEGARMANAH 1"/>
    <s v="HEGARMANAH 1"/>
    <x v="24"/>
  </r>
  <r>
    <n v="185"/>
    <s v="SMA AL MA MOEN"/>
    <m/>
    <n v="69929051"/>
    <x v="5"/>
    <s v="Karangtengah"/>
    <s v="SABANDAR"/>
    <s v="Swasta"/>
    <n v="157"/>
    <n v="137"/>
    <n v="159"/>
    <s v="SINDANGLAKA 4"/>
    <s v="SINDANGLAKA 4"/>
    <x v="9"/>
  </r>
  <r>
    <n v="186"/>
    <s v="SMA AL MUMTAAZ"/>
    <m/>
    <n v="70056271"/>
    <x v="5"/>
    <s v="Karangtengah"/>
    <s v="SUKASARANA"/>
    <s v="Swasta"/>
    <n v="20"/>
    <n v="15"/>
    <n v="22"/>
    <s v="CIHERANG 1"/>
    <s v="CIHERANG 1"/>
    <x v="12"/>
  </r>
  <r>
    <n v="187"/>
    <s v="SMA ISLAM AL-ISTIQOMAH"/>
    <m/>
    <n v="69906513"/>
    <x v="5"/>
    <s v="Karangtengah"/>
    <s v="LANGENSARI"/>
    <s v="Swasta"/>
    <n v="262"/>
    <n v="263"/>
    <n v="278"/>
    <s v="HEGARMANAH 2"/>
    <s v="SUKASARI"/>
    <x v="14"/>
  </r>
  <r>
    <n v="188"/>
    <s v="SMA ISLAM TERPADU AL-AMIN"/>
    <m/>
    <n v="70038213"/>
    <x v="5"/>
    <s v="Karangtengah"/>
    <s v="SINDANGLAKA"/>
    <s v="Swasta"/>
    <n v="149"/>
    <n v="147"/>
    <n v="162"/>
    <s v="SINDANGLAKA 3"/>
    <s v="SINDANGLAKA 3"/>
    <x v="19"/>
  </r>
  <r>
    <n v="189"/>
    <s v="SMA IT DAARUT TAQWA ASYAMSURIYYAH"/>
    <m/>
    <n v="70029865"/>
    <x v="5"/>
    <s v="Karangtengah"/>
    <s v="SABANDAR"/>
    <s v="Swasta"/>
    <n v="205"/>
    <n v="205"/>
    <n v="210"/>
    <s v="BOJONG 4"/>
    <s v="BOJONG 4"/>
    <x v="4"/>
  </r>
  <r>
    <n v="190"/>
    <s v="SMA MANARULHUDA"/>
    <m/>
    <n v="69930653"/>
    <x v="5"/>
    <s v="Karangtengah"/>
    <s v="SUKAMANAH"/>
    <s v="Swasta"/>
    <n v="96"/>
    <n v="96"/>
    <n v="114"/>
    <s v="1KEC CIANJUR"/>
    <s v="SINDANGASIH"/>
    <x v="15"/>
  </r>
  <r>
    <n v="191"/>
    <s v="SMA PESANTREN UNGGUL AL BAYAN CENDEKIA"/>
    <m/>
    <n v="70039709"/>
    <x v="5"/>
    <s v="Karangtengah"/>
    <s v="SINDANGLAKA"/>
    <s v="Swasta"/>
    <n v="132"/>
    <n v="132"/>
    <n v="132"/>
    <s v="0DITANGGUHKAN"/>
    <s v="0DITANGGUHKAN"/>
    <x v="3"/>
  </r>
  <r>
    <n v="192"/>
    <s v="SMAS AL ITTIHAD CIANJUR"/>
    <m/>
    <n v="20252046"/>
    <x v="5"/>
    <s v="Karangtengah"/>
    <s v="BOJONG"/>
    <s v="Swasta"/>
    <n v="505"/>
    <n v="504"/>
    <n v="525"/>
    <s v="BOJONG 2"/>
    <s v="BOJONG 2"/>
    <x v="18"/>
  </r>
  <r>
    <n v="193"/>
    <s v="SMAS PASUNDAN 1 CIANJUR"/>
    <m/>
    <n v="20252051"/>
    <x v="5"/>
    <s v="Karangtengah"/>
    <s v="SABANDAR"/>
    <s v="Swasta"/>
    <n v="381"/>
    <n v="387"/>
    <n v="423"/>
    <s v="SUKATARIS"/>
    <s v="SUKATARIS"/>
    <x v="0"/>
  </r>
  <r>
    <n v="194"/>
    <s v="SMK NEGERI 1 KARANGTENGAH"/>
    <m/>
    <n v="20252207"/>
    <x v="6"/>
    <s v="Karangtengah"/>
    <s v="SUKAJADI"/>
    <s v="Negeri"/>
    <n v="1385"/>
    <n v="1395"/>
    <n v="1480"/>
    <s v="SUKAJADI"/>
    <s v="SUKAJADI"/>
    <x v="7"/>
  </r>
  <r>
    <n v="195"/>
    <s v="SMK AL MADINAH MADANIA"/>
    <m/>
    <n v="69883477"/>
    <x v="6"/>
    <s v="Karangtengah"/>
    <s v="CIHERANG"/>
    <s v="Swasta"/>
    <n v="95"/>
    <n v="86"/>
    <n v="97"/>
    <s v="CIHERANG 1"/>
    <s v="CIHERANG 1"/>
    <x v="12"/>
  </r>
  <r>
    <n v="196"/>
    <s v="SMK AL-IKHWAN"/>
    <m/>
    <n v="69922328"/>
    <x v="6"/>
    <s v="Karangtengah"/>
    <s v="SUKASARI"/>
    <s v="Swasta"/>
    <n v="101"/>
    <n v="102"/>
    <n v="112"/>
    <s v="BOJONG 3"/>
    <s v="BOJONG 5"/>
    <x v="13"/>
  </r>
  <r>
    <n v="197"/>
    <s v="SMK AL-MUNAWWARAH"/>
    <n v="6"/>
    <n v="69904592"/>
    <x v="6"/>
    <s v="Karangtengah"/>
    <s v="BABAKANCARINGIN"/>
    <s v="Swasta"/>
    <n v="224"/>
    <n v="252"/>
    <n v="177"/>
    <s v="SINDANGASIH"/>
    <s v="BOJONG 5"/>
    <x v="15"/>
  </r>
  <r>
    <n v="198"/>
    <s v="SMK DARUL MUTTAQIN CIANJUR"/>
    <m/>
    <n v="69896911"/>
    <x v="6"/>
    <s v="Karangtengah"/>
    <s v="MALEBER"/>
    <s v="Swasta"/>
    <n v="400"/>
    <n v="400"/>
    <n v="437"/>
    <s v="MALEBER"/>
    <s v="MALEBER"/>
    <x v="1"/>
  </r>
  <r>
    <n v="199"/>
    <s v="SMK ISLAM TERPADU IZZUL ISLAM"/>
    <m/>
    <n v="69886280"/>
    <x v="6"/>
    <s v="Karangtengah"/>
    <s v="SUKAMANAH"/>
    <s v="Swasta"/>
    <n v="74"/>
    <n v="91"/>
    <n v="90"/>
    <s v="SINDANGLAKA 4"/>
    <s v="SINDANGASIH"/>
    <x v="13"/>
  </r>
  <r>
    <n v="200"/>
    <s v="SMK KESEHATAN BHAKTI MEDIKA CIANJUR"/>
    <m/>
    <n v="20258557"/>
    <x v="6"/>
    <s v="Karangtengah"/>
    <s v="HEGARMANAH"/>
    <s v="Swasta"/>
    <n v="72"/>
    <n v="76"/>
    <n v="111"/>
    <s v="HEGARMANAH 3"/>
    <s v="HEGARMANAH 3"/>
    <x v="17"/>
  </r>
  <r>
    <n v="201"/>
    <s v="SMK MITRA INSAN"/>
    <m/>
    <n v="69914680"/>
    <x v="6"/>
    <s v="Karangtengah"/>
    <s v="SUKAMANTRI"/>
    <s v="Swasta"/>
    <n v="97"/>
    <n v="100"/>
    <n v="110"/>
    <s v="HEGARMANAH 3"/>
    <s v="HEGARMANAH 3"/>
    <x v="17"/>
  </r>
  <r>
    <n v="202"/>
    <s v="SMK PERMATA INSAN"/>
    <m/>
    <n v="69840945"/>
    <x v="6"/>
    <s v="Karangtengah"/>
    <s v="MALEBER"/>
    <s v="Swasta"/>
    <n v="133"/>
    <n v="119"/>
    <n v="132"/>
    <s v="BOJONG 3"/>
    <s v="BOJONG 3"/>
    <x v="14"/>
  </r>
  <r>
    <n v="203"/>
    <s v="SMK PLUS INSAN ANDALAN CIANJUR"/>
    <m/>
    <n v="70041811"/>
    <x v="6"/>
    <s v="Karangtengah"/>
    <s v="BOJONG"/>
    <s v="Swasta"/>
    <n v="112"/>
    <n v="104"/>
    <n v="134"/>
    <s v="HEGARMANAH 1"/>
    <s v="BOJONG 1"/>
    <x v="2"/>
  </r>
  <r>
    <n v="204"/>
    <s v="SMKS AL ITTIHAD"/>
    <m/>
    <n v="20252205"/>
    <x v="6"/>
    <s v="Karangtengah"/>
    <s v="BOJONG"/>
    <s v="Swasta"/>
    <n v="378"/>
    <n v="378"/>
    <n v="407"/>
    <s v="BOJONG 2"/>
    <s v="BOJONG 2"/>
    <x v="18"/>
  </r>
  <r>
    <n v="205"/>
    <s v="SMKS BINA BANGSA PERTIWI"/>
    <m/>
    <n v="69786221"/>
    <x v="6"/>
    <s v="Karangtengah"/>
    <s v="BABAKANCARINGIN"/>
    <s v="Swasta"/>
    <n v="121"/>
    <n v="125"/>
    <n v="135"/>
    <s v="HEGARMANAH 2"/>
    <s v="CIHERANG 2"/>
    <x v="26"/>
  </r>
  <r>
    <n v="206"/>
    <s v="SMKS BUNGA PERSADA CIANJUR"/>
    <m/>
    <n v="69755828"/>
    <x v="6"/>
    <s v="Karangtengah"/>
    <s v="SUKAMULYA"/>
    <s v="Swasta"/>
    <n v="799"/>
    <n v="796"/>
    <n v="864"/>
    <s v="SINDANGLAKA 2"/>
    <s v="SINDANGLAKA 2"/>
    <x v="11"/>
  </r>
  <r>
    <n v="207"/>
    <s v="SMKS MANDIRI BERSEMI"/>
    <m/>
    <n v="20256557"/>
    <x v="6"/>
    <s v="Karangtengah"/>
    <s v="BOJONG"/>
    <s v="Swasta"/>
    <n v="495"/>
    <n v="506"/>
    <n v="539"/>
    <s v="BOJONG 1"/>
    <s v="BOJONG 1"/>
    <x v="2"/>
  </r>
  <r>
    <n v="208"/>
    <s v="SMKS PASUNDAN 2 CIANJUR"/>
    <m/>
    <n v="20268529"/>
    <x v="6"/>
    <s v="Karangtengah"/>
    <s v="SABANDAR"/>
    <s v="Swasta"/>
    <n v="122"/>
    <n v="119"/>
    <n v="146"/>
    <s v="SUKATARIS"/>
    <s v="SUKATARIS"/>
    <x v="0"/>
  </r>
  <r>
    <n v="209"/>
    <s v="SMKS PASUNDAN CIANJUR"/>
    <m/>
    <n v="20203729"/>
    <x v="6"/>
    <s v="Karangtengah"/>
    <s v="SABANDAR"/>
    <s v="Swasta"/>
    <n v="1554"/>
    <n v="1556"/>
    <n v="1614"/>
    <s v="SABANDAR 2"/>
    <s v="SABANDAR 2"/>
    <x v="10"/>
  </r>
  <r>
    <n v="210"/>
    <s v="SMKS TARUNA BHAKTI CIANJUR"/>
    <m/>
    <n v="20203803"/>
    <x v="6"/>
    <s v="Karangtengah"/>
    <s v="SINDANGLAKA"/>
    <s v="Swasta"/>
    <n v="171"/>
    <n v="124"/>
    <n v="146"/>
    <s v="SINDANGLAKA 1"/>
    <s v="SINDANGLAKA 1"/>
    <x v="21"/>
  </r>
  <r>
    <n v="211"/>
    <s v="PKBM AL NUR RAHMAH"/>
    <m/>
    <s v="P9998362"/>
    <x v="7"/>
    <s v="Karangtengah"/>
    <m/>
    <s v="Swasta"/>
    <n v="160"/>
    <m/>
    <m/>
    <m/>
    <m/>
    <x v="20"/>
  </r>
  <r>
    <n v="212"/>
    <s v="PKBM AL-ADZKIYA"/>
    <m/>
    <s v="P9952437"/>
    <x v="7"/>
    <s v="Karangtengah"/>
    <m/>
    <s v="Swasta"/>
    <n v="235"/>
    <m/>
    <m/>
    <m/>
    <m/>
    <x v="20"/>
  </r>
  <r>
    <n v="213"/>
    <s v="PKBM AL-APPANDI"/>
    <m/>
    <s v="P2962897"/>
    <x v="7"/>
    <s v="Karangtengah"/>
    <m/>
    <s v="Swasta"/>
    <n v="0"/>
    <m/>
    <m/>
    <m/>
    <m/>
    <x v="20"/>
  </r>
  <r>
    <n v="214"/>
    <s v="PKBM AL-FAIDAH"/>
    <m/>
    <s v="P2962917"/>
    <x v="7"/>
    <s v="Karangtengah"/>
    <m/>
    <s v="Swasta"/>
    <n v="173"/>
    <m/>
    <m/>
    <m/>
    <m/>
    <x v="20"/>
  </r>
  <r>
    <n v="215"/>
    <s v="PKBM AN-NURONIYYAH"/>
    <m/>
    <s v="P9974044"/>
    <x v="7"/>
    <s v="Karangtengah"/>
    <m/>
    <s v="Swasta"/>
    <n v="1"/>
    <m/>
    <m/>
    <m/>
    <m/>
    <x v="20"/>
  </r>
  <r>
    <n v="216"/>
    <s v="PKBM ASRI PARADISTA"/>
    <m/>
    <s v="P9984806"/>
    <x v="7"/>
    <s v="Karangtengah"/>
    <m/>
    <s v="Swasta"/>
    <n v="349"/>
    <n v="77"/>
    <n v="85"/>
    <s v="HEGARMANAH 3"/>
    <s v="HEGARMANAH 3"/>
    <x v="17"/>
  </r>
  <r>
    <n v="217"/>
    <s v="PKBM ASSAADAH AL-ISLAMI"/>
    <m/>
    <s v="P9998889"/>
    <x v="7"/>
    <s v="Karangtengah"/>
    <m/>
    <s v="Swasta"/>
    <n v="271"/>
    <m/>
    <m/>
    <m/>
    <m/>
    <x v="20"/>
  </r>
  <r>
    <n v="218"/>
    <s v="PKBM BUNDA RATU"/>
    <m/>
    <s v="P9996373"/>
    <x v="7"/>
    <s v="Karangtengah"/>
    <m/>
    <s v="Swasta"/>
    <n v="0"/>
    <m/>
    <m/>
    <m/>
    <m/>
    <x v="20"/>
  </r>
  <r>
    <n v="219"/>
    <s v="PKBM CIIMBANGSARI"/>
    <m/>
    <s v="P2962918"/>
    <x v="7"/>
    <s v="Karangtengah"/>
    <m/>
    <s v="Swasta"/>
    <n v="165"/>
    <m/>
    <m/>
    <m/>
    <m/>
    <x v="20"/>
  </r>
  <r>
    <n v="220"/>
    <s v="PKBM DARUL HUDA"/>
    <m/>
    <s v="P9996875"/>
    <x v="7"/>
    <s v="Karangtengah"/>
    <m/>
    <s v="Swasta"/>
    <n v="307"/>
    <m/>
    <m/>
    <m/>
    <m/>
    <x v="20"/>
  </r>
  <r>
    <n v="221"/>
    <s v="PKBM FADELL LABIBA"/>
    <m/>
    <s v="P9998076"/>
    <x v="7"/>
    <s v="Karangtengah"/>
    <m/>
    <s v="Swasta"/>
    <n v="247"/>
    <m/>
    <m/>
    <m/>
    <m/>
    <x v="20"/>
  </r>
  <r>
    <n v="222"/>
    <s v="PKBM GENERASI ULUL ALBAB"/>
    <m/>
    <s v="P9997801"/>
    <x v="7"/>
    <s v="Karangtengah"/>
    <m/>
    <s v="Swasta"/>
    <n v="0"/>
    <m/>
    <m/>
    <m/>
    <m/>
    <x v="20"/>
  </r>
  <r>
    <n v="223"/>
    <s v="PKBM MANDIRI BERSEMI"/>
    <m/>
    <s v="P2962919"/>
    <x v="7"/>
    <s v="Karangtengah"/>
    <m/>
    <s v="Swasta"/>
    <n v="37"/>
    <m/>
    <m/>
    <m/>
    <m/>
    <x v="20"/>
  </r>
  <r>
    <n v="224"/>
    <s v="PKBM NURUL FATA"/>
    <m/>
    <s v="P9952537"/>
    <x v="7"/>
    <s v="Karangtengah"/>
    <m/>
    <s v="Swasta"/>
    <n v="354"/>
    <m/>
    <m/>
    <m/>
    <m/>
    <x v="20"/>
  </r>
  <r>
    <n v="225"/>
    <s v="PKBM SAPUTRA JAYA"/>
    <m/>
    <s v="P9998723"/>
    <x v="7"/>
    <s v="Karangtengah"/>
    <m/>
    <s v="Swasta"/>
    <n v="62"/>
    <m/>
    <m/>
    <m/>
    <m/>
    <x v="20"/>
  </r>
  <r>
    <n v="226"/>
    <s v="SLB ABC BINA BANGSA"/>
    <m/>
    <n v="20254693"/>
    <x v="8"/>
    <s v="Karangtengah"/>
    <s v="HEGARMANAH"/>
    <s v="Swasta"/>
    <n v="101"/>
    <n v="98"/>
    <n v="117"/>
    <s v="HEGARMANAH 3"/>
    <s v="HEGARMANAH 3"/>
    <x v="17"/>
  </r>
  <r>
    <n v="227"/>
    <s v="RA AISYIYAH II"/>
    <m/>
    <n v="101232030079"/>
    <x v="9"/>
    <s v="Karangtengah"/>
    <s v="LANGENSARI"/>
    <s v="Swasta"/>
    <n v="18"/>
    <m/>
    <m/>
    <m/>
    <s v="SUKATARIS"/>
    <x v="0"/>
  </r>
  <r>
    <n v="228"/>
    <s v="RA AL-HIDAYAH"/>
    <m/>
    <n v="101232030080"/>
    <x v="9"/>
    <s v="Karangtengah"/>
    <m/>
    <s v="Swasta"/>
    <n v="40"/>
    <n v="40"/>
    <n v="40"/>
    <m/>
    <s v="HEGARMANAH 3"/>
    <x v="17"/>
  </r>
  <r>
    <n v="229"/>
    <s v="RA AL-ITTIHAD"/>
    <m/>
    <n v="101232030081"/>
    <x v="9"/>
    <s v="Karangtengah"/>
    <m/>
    <s v="Swasta"/>
    <n v="20"/>
    <n v="32"/>
    <n v="36"/>
    <s v="BOJONG 2"/>
    <s v="BOJONG 2"/>
    <x v="18"/>
  </r>
  <r>
    <n v="230"/>
    <s v="RA AL-KHODIJAH AMA WAAS"/>
    <m/>
    <n v="101232030082"/>
    <x v="9"/>
    <s v="Karangtengah"/>
    <m/>
    <s v="Swasta"/>
    <n v="34"/>
    <n v="41"/>
    <n v="49"/>
    <s v="BOJONG 4"/>
    <s v="BOJONG 4"/>
    <x v="4"/>
  </r>
  <r>
    <n v="231"/>
    <s v="RA AL-MUHAJIRIN"/>
    <m/>
    <n v="101232030083"/>
    <x v="9"/>
    <s v="Karangtengah"/>
    <m/>
    <s v="Swasta"/>
    <n v="20"/>
    <n v="27"/>
    <n v="32"/>
    <s v="BOJONG 1"/>
    <s v="BOJONG 1"/>
    <x v="2"/>
  </r>
  <r>
    <n v="232"/>
    <s v="RA AL-MUNAWWARAH"/>
    <n v="6"/>
    <n v="101232030084"/>
    <x v="9"/>
    <s v="Karangtengah"/>
    <m/>
    <s v="Swasta"/>
    <n v="52"/>
    <n v="48"/>
    <n v="55"/>
    <s v="SINDANGASIH"/>
    <s v="BOJONG 5"/>
    <x v="15"/>
  </r>
  <r>
    <n v="233"/>
    <s v="RA AMARA"/>
    <m/>
    <n v="101232030085"/>
    <x v="9"/>
    <s v="Karangtengah"/>
    <m/>
    <s v="Swasta"/>
    <n v="30"/>
    <n v="34"/>
    <n v="40"/>
    <s v="SABANDAR 2"/>
    <s v="SABANDAR 2"/>
    <x v="10"/>
  </r>
  <r>
    <n v="234"/>
    <s v="RA AR-ROHMAN"/>
    <m/>
    <n v="101232030086"/>
    <x v="9"/>
    <s v="Karangtengah"/>
    <m/>
    <s v="Swasta"/>
    <n v="68"/>
    <n v="62"/>
    <n v="62"/>
    <s v="CIHERANG 2"/>
    <s v="CIHERANG 2"/>
    <x v="5"/>
  </r>
  <r>
    <n v="235"/>
    <s v="RA AS-SAKINAH"/>
    <m/>
    <n v="101232030087"/>
    <x v="9"/>
    <s v="Karangtengah"/>
    <m/>
    <s v="Swasta"/>
    <n v="30"/>
    <n v="17"/>
    <n v="20"/>
    <s v="BOJONG 4"/>
    <s v="SINDANGLAKA 4"/>
    <x v="9"/>
  </r>
  <r>
    <n v="236"/>
    <s v="RA AT-TAQWA"/>
    <m/>
    <n v="101232030088"/>
    <x v="9"/>
    <s v="Karangtengah"/>
    <m/>
    <s v="Swasta"/>
    <n v="26"/>
    <n v="17"/>
    <n v="20"/>
    <s v="SUKAMANTRI"/>
    <s v="SUKAMANTRI"/>
    <x v="23"/>
  </r>
  <r>
    <n v="237"/>
    <s v="RA BINA INSANI"/>
    <m/>
    <n v="101232030089"/>
    <x v="9"/>
    <s v="Karangtengah"/>
    <m/>
    <s v="Swasta"/>
    <n v="41"/>
    <n v="48"/>
    <n v="54"/>
    <s v="HEGARMANAH 3"/>
    <s v="HEGARMANAH 3"/>
    <x v="17"/>
  </r>
  <r>
    <n v="238"/>
    <s v="RA DARURROHMAN"/>
    <m/>
    <n v="101232030090"/>
    <x v="9"/>
    <s v="Karangtengah"/>
    <m/>
    <s v="Swasta"/>
    <n v="17"/>
    <n v="17"/>
    <n v="17"/>
    <m/>
    <s v="BOJONG 1"/>
    <x v="20"/>
  </r>
  <r>
    <n v="239"/>
    <s v="RA AL-ISTIQOMAH"/>
    <m/>
    <n v="101232030091"/>
    <x v="9"/>
    <s v="Karangtengah"/>
    <m/>
    <s v="Swasta"/>
    <n v="56"/>
    <n v="59"/>
    <n v="65"/>
    <s v="HEGARMANAH 2"/>
    <s v="SUKASARI"/>
    <x v="14"/>
  </r>
  <r>
    <n v="240"/>
    <s v="RA NURANI ANAK BANGSA"/>
    <m/>
    <n v="101232030092"/>
    <x v="9"/>
    <s v="Karangtengah"/>
    <m/>
    <s v="Swasta"/>
    <n v="42"/>
    <n v="29"/>
    <n v="37"/>
    <s v="SUKAMANTRI"/>
    <s v="HEGARMANAH 2"/>
    <x v="25"/>
  </r>
  <r>
    <n v="241"/>
    <s v="RA NURUL IMAN"/>
    <m/>
    <n v="101232030093"/>
    <x v="9"/>
    <s v="Karangtengah"/>
    <m/>
    <s v="Swasta"/>
    <n v="33"/>
    <n v="35"/>
    <n v="38"/>
    <s v="BOJONG 4"/>
    <s v="SINDANGLAKA 4"/>
    <x v="9"/>
  </r>
  <r>
    <n v="242"/>
    <s v="RA PERWANIDA"/>
    <m/>
    <n v="101232030094"/>
    <x v="9"/>
    <s v="Karangtengah"/>
    <m/>
    <s v="Swasta"/>
    <n v="36"/>
    <n v="38"/>
    <n v="42"/>
    <s v="BOJONG 1"/>
    <s v="BOJONG 1"/>
    <x v="2"/>
  </r>
  <r>
    <n v="243"/>
    <s v="RA RIYADUSSHALIHIN"/>
    <m/>
    <n v="101232030095"/>
    <x v="9"/>
    <s v="Karangtengah"/>
    <m/>
    <s v="Swasta"/>
    <n v="77"/>
    <n v="51"/>
    <n v="61"/>
    <s v="HEGARMANAH 2"/>
    <s v="HEGARMANAH 2"/>
    <x v="25"/>
  </r>
  <r>
    <n v="244"/>
    <s v="RA SEJAHTERA MANARUL HUDA"/>
    <m/>
    <n v="101232030096"/>
    <x v="9"/>
    <s v="Karangtengah"/>
    <m/>
    <s v="Swasta"/>
    <n v="47"/>
    <n v="47"/>
    <n v="51"/>
    <s v="1KEC CIANJUR"/>
    <s v="SINDANGASIH"/>
    <x v="27"/>
  </r>
  <r>
    <n v="245"/>
    <s v="RA SUKATARIS"/>
    <m/>
    <n v="101232030097"/>
    <x v="9"/>
    <s v="Karangtengah"/>
    <m/>
    <s v="Swasta"/>
    <n v="50"/>
    <n v="57"/>
    <n v="63"/>
    <s v="SUKATARIS"/>
    <s v="SUKATARIS"/>
    <x v="0"/>
  </r>
  <r>
    <n v="246"/>
    <s v="RA TANWIRIYYAH"/>
    <m/>
    <n v="101232030098"/>
    <x v="9"/>
    <s v="Karangtengah"/>
    <m/>
    <s v="Swasta"/>
    <n v="81"/>
    <n v="78"/>
    <n v="90"/>
    <s v="SINDANGLAKA 2"/>
    <s v="SINDANGLAKA 2"/>
    <x v="11"/>
  </r>
  <r>
    <n v="247"/>
    <s v="RA AL-MUMTAZ"/>
    <m/>
    <n v="101232030129"/>
    <x v="9"/>
    <s v="Karangtengah"/>
    <m/>
    <s v="Swasta"/>
    <n v="17"/>
    <n v="17"/>
    <n v="21"/>
    <s v="SINDANGLAKA 3"/>
    <s v="SUKATARIS"/>
    <x v="0"/>
  </r>
  <r>
    <n v="248"/>
    <s v="RA INSAN AMANAH"/>
    <m/>
    <n v="101232030130"/>
    <x v="9"/>
    <s v="Karangtengah"/>
    <m/>
    <s v="Swasta"/>
    <n v="62"/>
    <n v="65"/>
    <n v="71"/>
    <s v="SINDANGLAKA 3"/>
    <s v="SINDANGLAKA 3"/>
    <x v="19"/>
  </r>
  <r>
    <n v="249"/>
    <s v="RA RAUDLATUL IRFAN"/>
    <m/>
    <n v="101232030136"/>
    <x v="9"/>
    <s v="Karangtengah"/>
    <m/>
    <s v="Swasta"/>
    <n v="55"/>
    <n v="44"/>
    <n v="51"/>
    <s v="HEGARMANAH 2"/>
    <s v="CIHERANG 2"/>
    <x v="26"/>
  </r>
  <r>
    <n v="250"/>
    <s v="RA YAPISNA"/>
    <m/>
    <n v="101232030138"/>
    <x v="9"/>
    <s v="Karangtengah"/>
    <m/>
    <s v="Swasta"/>
    <n v="24"/>
    <n v="35"/>
    <n v="40"/>
    <s v="HEGARMANAH 2"/>
    <s v="SINDANGLAKA 4"/>
    <x v="9"/>
  </r>
  <r>
    <n v="251"/>
    <s v="RA AL-ADZKIYA 01"/>
    <m/>
    <n v="101232030139"/>
    <x v="9"/>
    <s v="Karangtengah"/>
    <m/>
    <m/>
    <n v="81"/>
    <n v="74"/>
    <n v="83"/>
    <s v="SINDANGLAKA 1"/>
    <s v="SINDANGLAKA 1"/>
    <x v="21"/>
  </r>
  <r>
    <n v="252"/>
    <s v="RA ASSASUL ISLAM"/>
    <m/>
    <n v="101232030149"/>
    <x v="9"/>
    <s v="Karangtengah"/>
    <m/>
    <s v="Swasta"/>
    <n v="14"/>
    <n v="15"/>
    <n v="17"/>
    <s v="CIHERANG 1"/>
    <s v="CIHERANG 1"/>
    <x v="12"/>
  </r>
  <r>
    <n v="253"/>
    <s v="RA AL-IKHWAN"/>
    <m/>
    <n v="101232030156"/>
    <x v="9"/>
    <s v="Karangtengah"/>
    <m/>
    <s v="Swasta"/>
    <n v="33"/>
    <n v="33"/>
    <n v="38"/>
    <s v="BOJONG 3"/>
    <s v="BOJONG 5"/>
    <x v="13"/>
  </r>
  <r>
    <n v="254"/>
    <s v="RA MIFTAHUL HUDA AL-FURQON"/>
    <m/>
    <n v="101232030163"/>
    <x v="9"/>
    <s v="Karangtengah"/>
    <m/>
    <s v="Swasta"/>
    <n v="51"/>
    <n v="52"/>
    <n v="58"/>
    <s v="BOJONG 4"/>
    <s v="SINDANGLAKA 4"/>
    <x v="4"/>
  </r>
  <r>
    <n v="255"/>
    <s v="RA HAUNA"/>
    <m/>
    <n v="101232030166"/>
    <x v="9"/>
    <s v="Karangtengah"/>
    <m/>
    <s v="Swasta"/>
    <n v="81"/>
    <n v="81"/>
    <n v="96"/>
    <s v="HEGARMANAH 3"/>
    <s v="HEGARMANAH 3"/>
    <x v="17"/>
  </r>
  <r>
    <n v="256"/>
    <s v="RA MANARUL ABROR"/>
    <m/>
    <n v="101232030176"/>
    <x v="9"/>
    <s v="Karangtengah"/>
    <m/>
    <s v="Swasta"/>
    <n v="25"/>
    <n v="31"/>
    <n v="36"/>
    <s v="BOJONG 4"/>
    <s v="SINDANGLAKA 4"/>
    <x v="9"/>
  </r>
  <r>
    <n v="257"/>
    <s v="RA NURUL IKHLAS"/>
    <m/>
    <n v="101232030203"/>
    <x v="9"/>
    <s v="Karangtengah"/>
    <m/>
    <s v="Swasta"/>
    <n v="42"/>
    <n v="34"/>
    <n v="40"/>
    <s v="SINDANGASIH"/>
    <s v="BOJONG 4"/>
    <x v="4"/>
  </r>
  <r>
    <n v="258"/>
    <s v="RA AL MUFTI"/>
    <m/>
    <n v="101232030204"/>
    <x v="9"/>
    <s v="Karangtengah"/>
    <m/>
    <s v="Swasta"/>
    <n v="45"/>
    <n v="46"/>
    <n v="52"/>
    <s v="BOJONG 1"/>
    <s v="BOJONG 1"/>
    <x v="2"/>
  </r>
  <r>
    <n v="259"/>
    <s v="MIN 1 CIANJUR"/>
    <n v="1"/>
    <n v="111132030001"/>
    <x v="10"/>
    <s v="Karangtengah"/>
    <m/>
    <s v="Swasta"/>
    <n v="784"/>
    <n v="17"/>
    <n v="840"/>
    <s v="BOJONG 3"/>
    <s v="BOJONG 3"/>
    <x v="16"/>
  </r>
  <r>
    <n v="260"/>
    <s v="MIS AL-KHOERIYYAH"/>
    <m/>
    <n v="111232030136"/>
    <x v="11"/>
    <s v="Karangtengah"/>
    <m/>
    <s v="Swasta"/>
    <n v="320"/>
    <n v="314"/>
    <n v="316"/>
    <s v="SUKATARIS"/>
    <s v="SUKATARIS"/>
    <x v="0"/>
  </r>
  <r>
    <n v="261"/>
    <s v="MIS AL-MUNAWWARAH"/>
    <n v="6"/>
    <n v="111232030137"/>
    <x v="11"/>
    <s v="Karangtengah"/>
    <m/>
    <s v="Swasta"/>
    <n v="213"/>
    <n v="236"/>
    <n v="250"/>
    <s v="SINDANGASIH"/>
    <s v="BOJONG 5"/>
    <x v="15"/>
  </r>
  <r>
    <n v="262"/>
    <s v="MIS ASSAADAH"/>
    <m/>
    <n v="111232030138"/>
    <x v="11"/>
    <s v="Karangtengah"/>
    <m/>
    <s v="Swasta"/>
    <n v="362"/>
    <n v="378"/>
    <n v="395"/>
    <s v="SINDANGLAKA 4"/>
    <s v="SINDANGLAKA 4"/>
    <x v="9"/>
  </r>
  <r>
    <n v="263"/>
    <s v="MIS ASSASUL ISLAM"/>
    <m/>
    <n v="111232030139"/>
    <x v="11"/>
    <s v="Karangtengah"/>
    <m/>
    <s v="Swasta"/>
    <n v="152"/>
    <n v="146"/>
    <n v="157"/>
    <s v="CIHERANG 1"/>
    <s v="CIHERANG 1"/>
    <x v="12"/>
  </r>
  <r>
    <n v="264"/>
    <s v="MIS ATS-TSUUR"/>
    <m/>
    <n v="111232030140"/>
    <x v="11"/>
    <s v="Karangtengah"/>
    <m/>
    <s v="Swasta"/>
    <n v="175"/>
    <n v="191"/>
    <n v="202"/>
    <s v="HEGARMANAH 2"/>
    <s v="HEGARMANAH 2"/>
    <x v="25"/>
  </r>
  <r>
    <n v="265"/>
    <s v="MIS AT-TANBIH"/>
    <m/>
    <n v="111232030141"/>
    <x v="11"/>
    <s v="Karangtengah"/>
    <m/>
    <s v="Swasta"/>
    <n v="186"/>
    <n v="184"/>
    <n v="195"/>
    <s v="BOJONG 4"/>
    <s v="SINDANGLAKA 4"/>
    <x v="9"/>
  </r>
  <r>
    <n v="266"/>
    <s v="MIS ISLAMIYAH KOPO"/>
    <m/>
    <n v="111232030142"/>
    <x v="11"/>
    <s v="Karangtengah"/>
    <m/>
    <s v="Swasta"/>
    <n v="100"/>
    <n v="113"/>
    <n v="123"/>
    <s v="HEGARMANAH 2"/>
    <s v="HEGARMANAH 2"/>
    <x v="25"/>
  </r>
  <r>
    <n v="267"/>
    <s v="MIS MANARUL HUDA"/>
    <m/>
    <n v="111232030143"/>
    <x v="11"/>
    <s v="Karangtengah"/>
    <m/>
    <s v="Swasta"/>
    <n v="483"/>
    <n v="483"/>
    <n v="516"/>
    <s v="1KEC CIANJUR"/>
    <s v="SINDANGASIH"/>
    <x v="27"/>
  </r>
  <r>
    <n v="268"/>
    <s v="MIS RAUDLATUL IRFAN"/>
    <m/>
    <n v="111232030144"/>
    <x v="11"/>
    <s v="Karangtengah"/>
    <m/>
    <s v="Swasta"/>
    <n v="202"/>
    <n v="200"/>
    <n v="211"/>
    <s v="HEGARMANAH 2"/>
    <s v="CIHERANG 2"/>
    <x v="26"/>
  </r>
  <r>
    <n v="269"/>
    <s v="MIS RAUDLATUSSIBYAN"/>
    <n v="2"/>
    <n v="111232030145"/>
    <x v="11"/>
    <s v="Karangtengah"/>
    <m/>
    <s v="Swasta"/>
    <n v="101"/>
    <n v="100"/>
    <n v="109"/>
    <s v="BOJONG 3"/>
    <s v="BOJONG 5"/>
    <x v="15"/>
  </r>
  <r>
    <n v="270"/>
    <s v="MIS TANWIRIYYAH"/>
    <m/>
    <n v="111232030146"/>
    <x v="11"/>
    <s v="Karangtengah"/>
    <m/>
    <s v="Swasta"/>
    <n v="390"/>
    <n v="387"/>
    <n v="405"/>
    <s v="SINDANGLAKA 2"/>
    <s v="SINDANGLAKA 2"/>
    <x v="11"/>
  </r>
  <r>
    <n v="271"/>
    <s v="MIS AL-MADINAH"/>
    <m/>
    <n v="111232030227"/>
    <x v="11"/>
    <s v="Karangtengah"/>
    <m/>
    <s v="Swasta"/>
    <n v="111"/>
    <n v="124"/>
    <n v="135"/>
    <s v="CIHERANG 1"/>
    <s v="CIHERANG 1"/>
    <x v="12"/>
  </r>
  <r>
    <n v="272"/>
    <s v="MTSS ATS-TSUUR"/>
    <m/>
    <n v="121232030048"/>
    <x v="12"/>
    <s v="Karangtengah"/>
    <m/>
    <s v="Swasta"/>
    <n v="306"/>
    <n v="270"/>
    <n v="294"/>
    <s v="HEGARMANAH 2"/>
    <s v="HEGARMANAH 2"/>
    <x v="25"/>
  </r>
  <r>
    <n v="273"/>
    <s v="MTSS MANARUL HUDA"/>
    <m/>
    <n v="121232030050"/>
    <x v="12"/>
    <s v="Karangtengah"/>
    <m/>
    <s v="Swasta"/>
    <n v="338"/>
    <n v="338"/>
    <n v="381"/>
    <s v="1KEC CIANJUR"/>
    <s v="SINDANGASIH"/>
    <x v="27"/>
  </r>
  <r>
    <n v="274"/>
    <s v="MTSS TANWIRIYYAH"/>
    <m/>
    <n v="121232030051"/>
    <x v="12"/>
    <s v="Karangtengah"/>
    <m/>
    <s v="Swasta"/>
    <n v="521"/>
    <n v="444"/>
    <n v="464"/>
    <s v="SINDANGLAKA 2"/>
    <s v="SINDANGLAKA 2"/>
    <x v="11"/>
  </r>
  <r>
    <n v="275"/>
    <s v="MTSS INSAN AMANAH"/>
    <m/>
    <n v="121232030052"/>
    <x v="12"/>
    <s v="Karangtengah"/>
    <m/>
    <s v="Swasta"/>
    <n v="150"/>
    <n v="136"/>
    <n v="144"/>
    <s v="SINDANGLAKA 3"/>
    <s v="SINDANGLAKA 3"/>
    <x v="19"/>
  </r>
  <r>
    <n v="276"/>
    <s v="MTSS RAUDLATUL IRFAN"/>
    <m/>
    <n v="121232030053"/>
    <x v="12"/>
    <s v="Karangtengah"/>
    <m/>
    <s v="Swasta"/>
    <n v="148"/>
    <n v="130"/>
    <n v="142"/>
    <s v="HEGARMANAH 2"/>
    <s v="CIHERANG 2"/>
    <x v="26"/>
  </r>
  <r>
    <n v="277"/>
    <s v="MTSS SA AL-ISTIQOMAH"/>
    <m/>
    <n v="121232030093"/>
    <x v="12"/>
    <s v="Karangtengah"/>
    <m/>
    <s v="Swasta"/>
    <n v="386"/>
    <n v="390"/>
    <n v="409"/>
    <s v="HEGARMANAH 2"/>
    <s v="SUKASARI"/>
    <x v="14"/>
  </r>
  <r>
    <n v="278"/>
    <s v="MTSS AL-IKHWAN"/>
    <m/>
    <n v="121232030113"/>
    <x v="12"/>
    <s v="Karangtengah"/>
    <m/>
    <s v="Swasta"/>
    <n v="72"/>
    <n v="93"/>
    <n v="105"/>
    <s v="BOJONG 3"/>
    <s v="BOJONG 5"/>
    <x v="13"/>
  </r>
  <r>
    <n v="279"/>
    <s v="MTSS AL JAYANI"/>
    <m/>
    <n v="121232030115"/>
    <x v="12"/>
    <s v="Karangtengah"/>
    <m/>
    <s v="Swasta"/>
    <n v="230"/>
    <n v="210"/>
    <n v="220"/>
    <s v="HEGARMANAH 3"/>
    <s v="HEGARMANAH 3"/>
    <x v="17"/>
  </r>
  <r>
    <n v="280"/>
    <s v="MTSS YASPINA"/>
    <m/>
    <n v="121232030128"/>
    <x v="12"/>
    <s v="Karangtengah"/>
    <m/>
    <s v="Swasta"/>
    <n v="67"/>
    <n v="54"/>
    <n v="68"/>
    <s v="HEGARMANAH 1"/>
    <s v="HEGARMANAH 1"/>
    <x v="24"/>
  </r>
  <r>
    <n v="281"/>
    <s v="MTSS AL-KARIMAH"/>
    <m/>
    <n v="121232030150"/>
    <x v="12"/>
    <s v="Karangtengah"/>
    <m/>
    <s v="Swasta"/>
    <n v="114"/>
    <n v="117"/>
    <n v="119"/>
    <s v="SUKATARIS"/>
    <s v="SUKATARIS"/>
    <x v="0"/>
  </r>
  <r>
    <n v="282"/>
    <s v="MAS TANWIRIYYAH"/>
    <m/>
    <n v="131232030018"/>
    <x v="13"/>
    <s v="Karangtengah"/>
    <m/>
    <s v="Swasta"/>
    <n v="206"/>
    <n v="189"/>
    <n v="209"/>
    <s v="SINDANGLAKA 2"/>
    <s v="SINDANGLAKA 2"/>
    <x v="11"/>
  </r>
  <r>
    <n v="283"/>
    <s v="MAS YAPISNA"/>
    <m/>
    <n v="131232030032"/>
    <x v="13"/>
    <s v="Karangtengah"/>
    <m/>
    <s v="Swasta"/>
    <n v="58"/>
    <n v="41"/>
    <n v="50"/>
    <s v="MALEBER"/>
    <s v="MALEBER"/>
    <x v="1"/>
  </r>
  <r>
    <n v="284"/>
    <s v="MAS AL-MADINAH"/>
    <m/>
    <n v="131232030042"/>
    <x v="13"/>
    <s v="Karangtengah"/>
    <m/>
    <s v="Swasta"/>
    <n v="118"/>
    <n v="105"/>
    <n v="119"/>
    <s v="CIHERANG 1"/>
    <s v="CIHERANG 1"/>
    <x v="12"/>
  </r>
  <r>
    <n v="285"/>
    <s v="MAS MITRA AL KHAIDIR BOARDING SCHOOL"/>
    <m/>
    <n v="131232030059"/>
    <x v="13"/>
    <s v="Karangtengah"/>
    <m/>
    <s v="Swasta"/>
    <n v="150"/>
    <n v="40"/>
    <n v="78"/>
    <s v="CIHERANG 2"/>
    <s v="CIHERANG 2"/>
    <x v="26"/>
  </r>
  <r>
    <n v="286"/>
    <s v="MAS AL MUSTOFAWIYAH"/>
    <m/>
    <n v="131232030066"/>
    <x v="13"/>
    <s v="Karangtengah"/>
    <m/>
    <s v="Swasta"/>
    <n v="73"/>
    <n v="73"/>
    <n v="73"/>
    <s v="MALEBER"/>
    <s v="MALEBER"/>
    <x v="1"/>
  </r>
  <r>
    <n v="287"/>
    <s v="SMK PELITA"/>
    <m/>
    <m/>
    <x v="14"/>
    <m/>
    <m/>
    <m/>
    <m/>
    <n v="85"/>
    <n v="97"/>
    <s v="HEGARMANAH 2"/>
    <s v="BOJONG 3"/>
    <x v="14"/>
  </r>
  <r>
    <n v="288"/>
    <s v="PAUD MAWAR"/>
    <n v="0"/>
    <m/>
    <x v="14"/>
    <m/>
    <m/>
    <m/>
    <m/>
    <n v="17"/>
    <n v="21"/>
    <s v="BOJONG 1"/>
    <s v="BOJONG 1"/>
    <x v="2"/>
  </r>
  <r>
    <n v="289"/>
    <s v="SMA IT NAJMULQURRO"/>
    <m/>
    <m/>
    <x v="14"/>
    <m/>
    <m/>
    <m/>
    <m/>
    <n v="59"/>
    <n v="59"/>
    <s v="BOJONG 1"/>
    <s v="BOJONG 1"/>
    <x v="2"/>
  </r>
  <r>
    <n v="290"/>
    <s v="Bebas Merdeka Comunity"/>
    <m/>
    <m/>
    <x v="14"/>
    <m/>
    <m/>
    <m/>
    <m/>
    <n v="15"/>
    <n v="15"/>
    <s v="BOJONG 3"/>
    <s v="BOJONG 3"/>
    <x v="14"/>
  </r>
  <r>
    <n v="291"/>
    <s v="SMA ISLAM SULAIMANIYYAH"/>
    <m/>
    <m/>
    <x v="14"/>
    <m/>
    <m/>
    <m/>
    <m/>
    <n v="30"/>
    <n v="35"/>
    <s v="BOJONG 3"/>
    <s v="SUKASARI"/>
    <x v="22"/>
  </r>
  <r>
    <n v="292"/>
    <s v="AL-FITROH"/>
    <m/>
    <m/>
    <x v="14"/>
    <m/>
    <m/>
    <m/>
    <m/>
    <n v="14"/>
    <n v="17"/>
    <s v="CIHERANG 1"/>
    <s v="CIHERANG 1"/>
    <x v="12"/>
  </r>
  <r>
    <n v="293"/>
    <s v="SMA BAITUL ULUM"/>
    <m/>
    <m/>
    <x v="14"/>
    <m/>
    <m/>
    <m/>
    <m/>
    <n v="35"/>
    <n v="55"/>
    <s v="HEGARMANAH 1"/>
    <s v="BOJONG 1"/>
    <x v="2"/>
  </r>
  <r>
    <n v="294"/>
    <s v="AL-MANSHUR"/>
    <m/>
    <m/>
    <x v="14"/>
    <m/>
    <m/>
    <m/>
    <m/>
    <n v="20"/>
    <n v="23"/>
    <s v="HEGARMANAH 1"/>
    <s v="HEGARMANAH 1"/>
    <x v="24"/>
  </r>
  <r>
    <n v="295"/>
    <s v="MA YASPINA"/>
    <m/>
    <m/>
    <x v="14"/>
    <m/>
    <m/>
    <m/>
    <m/>
    <n v="35"/>
    <n v="41"/>
    <s v="HEGARMANAH 1"/>
    <s v="HEGARMANAH 1"/>
    <x v="24"/>
  </r>
  <r>
    <n v="296"/>
    <s v="DARUL QIRO`AH ALJULAENIAH"/>
    <m/>
    <m/>
    <x v="14"/>
    <m/>
    <m/>
    <m/>
    <m/>
    <n v="25"/>
    <n v="27"/>
    <s v="HEGARMANAH 3"/>
    <s v="HEGARMANAH 3"/>
    <x v="17"/>
  </r>
  <r>
    <n v="297"/>
    <s v="Miftahul Huda Utsmaniyyah IX"/>
    <m/>
    <m/>
    <x v="14"/>
    <m/>
    <m/>
    <m/>
    <m/>
    <n v="91"/>
    <n v="125"/>
    <s v="HEGARMANAH 3"/>
    <s v="HEGARMANAH 3"/>
    <x v="17"/>
  </r>
  <r>
    <n v="298"/>
    <s v="PAUD AT-TAUFIQ"/>
    <m/>
    <m/>
    <x v="14"/>
    <m/>
    <m/>
    <m/>
    <m/>
    <n v="70"/>
    <n v="78"/>
    <s v="HEGARMANAH 3"/>
    <s v="HEGARMANAH 3"/>
    <x v="17"/>
  </r>
  <r>
    <n v="299"/>
    <s v="RA/BA/TA AL-HIDAYAH"/>
    <m/>
    <m/>
    <x v="14"/>
    <m/>
    <m/>
    <m/>
    <m/>
    <n v="25"/>
    <n v="30"/>
    <s v="HEGARMANAH 3"/>
    <s v="HEGARMANAH 3"/>
    <x v="17"/>
  </r>
  <r>
    <n v="300"/>
    <s v="BINA CERDAS NANGEWER"/>
    <m/>
    <m/>
    <x v="14"/>
    <m/>
    <m/>
    <m/>
    <m/>
    <n v="27"/>
    <n v="30"/>
    <s v="HEGARMANAH 3"/>
    <s v="HEGARMANAH 3"/>
    <x v="17"/>
  </r>
  <r>
    <n v="301"/>
    <s v="BINA CERDAS"/>
    <m/>
    <m/>
    <x v="14"/>
    <m/>
    <m/>
    <m/>
    <m/>
    <n v="101"/>
    <n v="107"/>
    <s v="HEGARMANAH 3"/>
    <s v="HEGARMANAH 3"/>
    <x v="17"/>
  </r>
  <r>
    <n v="302"/>
    <s v="TKA NURUSSIBYAN"/>
    <m/>
    <m/>
    <x v="14"/>
    <m/>
    <m/>
    <m/>
    <m/>
    <n v="10"/>
    <n v="15"/>
    <s v="HEGARMANAH 3"/>
    <s v="HEGARMANAH 3"/>
    <x v="17"/>
  </r>
  <r>
    <n v="303"/>
    <s v="NURUL HIKMAH"/>
    <m/>
    <m/>
    <x v="14"/>
    <m/>
    <m/>
    <m/>
    <m/>
    <n v="77"/>
    <n v="84"/>
    <s v="MALEBER"/>
    <s v="MALEBER"/>
    <x v="1"/>
  </r>
  <r>
    <n v="305"/>
    <s v="AN NURUL BAROKAH"/>
    <m/>
    <m/>
    <x v="14"/>
    <m/>
    <m/>
    <m/>
    <m/>
    <n v="52"/>
    <n v="56"/>
    <s v="SABANDAR 2"/>
    <s v="SABANDAR 2"/>
    <x v="10"/>
  </r>
  <r>
    <n v="306"/>
    <s v="DARUTAUHID"/>
    <m/>
    <m/>
    <x v="14"/>
    <m/>
    <m/>
    <m/>
    <m/>
    <n v="22"/>
    <n v="22"/>
    <s v="SABANDAR 2"/>
    <s v="SABANDAR 2"/>
    <x v="10"/>
  </r>
  <r>
    <n v="307"/>
    <s v="DARUTAUHID"/>
    <m/>
    <m/>
    <x v="14"/>
    <m/>
    <m/>
    <m/>
    <m/>
    <n v="23"/>
    <n v="28"/>
    <s v="SABANDAR 2"/>
    <s v="SABANDAR 2"/>
    <x v="10"/>
  </r>
  <r>
    <n v="308"/>
    <s v="MTS RAUDHATUL IRFAN"/>
    <m/>
    <m/>
    <x v="14"/>
    <m/>
    <m/>
    <m/>
    <m/>
    <n v="44"/>
    <n v="49"/>
    <s v="SINDANGASIH"/>
    <s v="SINDANGASIH"/>
    <x v="15"/>
  </r>
  <r>
    <n v="309"/>
    <s v="TKQ RIADUL HUDA"/>
    <m/>
    <m/>
    <x v="14"/>
    <m/>
    <m/>
    <m/>
    <m/>
    <n v="61"/>
    <n v="65"/>
    <s v="SINDANGASIH"/>
    <s v="SINDANGASIH"/>
    <x v="15"/>
  </r>
  <r>
    <n v="310"/>
    <s v="PAUD AL HIDAYAH"/>
    <m/>
    <m/>
    <x v="14"/>
    <m/>
    <m/>
    <m/>
    <m/>
    <n v="38"/>
    <n v="42"/>
    <s v="SINDANGLAKA 3"/>
    <s v="SINDANGLAKA 3"/>
    <x v="19"/>
  </r>
  <r>
    <n v="311"/>
    <s v="PAUD DARUL FIKAR"/>
    <m/>
    <m/>
    <x v="14"/>
    <m/>
    <m/>
    <m/>
    <m/>
    <n v="115"/>
    <n v="120"/>
    <s v="SINDANGLAKA 3"/>
    <s v="SINDANGLAKA 3"/>
    <x v="19"/>
  </r>
  <r>
    <n v="312"/>
    <s v="DARUL HUDA"/>
    <m/>
    <m/>
    <x v="14"/>
    <m/>
    <m/>
    <m/>
    <m/>
    <n v="22"/>
    <n v="22"/>
    <s v="SINDANGLAKA 3"/>
    <s v="SINDANGLAKA 3"/>
    <x v="19"/>
  </r>
  <r>
    <n v="313"/>
    <s v="SMP DARUL HUDA"/>
    <m/>
    <m/>
    <x v="14"/>
    <m/>
    <m/>
    <m/>
    <m/>
    <n v="32"/>
    <n v="34"/>
    <s v="SINDANGLAKA 3"/>
    <s v="SINDANGLAKA 3"/>
    <x v="19"/>
  </r>
  <r>
    <n v="314"/>
    <s v="PAUD CAMPAKA"/>
    <m/>
    <m/>
    <x v="14"/>
    <m/>
    <m/>
    <m/>
    <m/>
    <n v="29"/>
    <n v="31"/>
    <s v="SINDANGLAKA 4"/>
    <s v="HEGARMANAH 1"/>
    <x v="24"/>
  </r>
  <r>
    <n v="315"/>
    <s v="PONPES IZZUL ISLAM"/>
    <m/>
    <m/>
    <x v="14"/>
    <m/>
    <m/>
    <m/>
    <m/>
    <n v="249"/>
    <n v="265"/>
    <s v="SINDANGLAKA 4"/>
    <s v="SINDANGASIH"/>
    <x v="13"/>
  </r>
  <r>
    <n v="316"/>
    <s v="PAUDQU Assa`adah"/>
    <m/>
    <m/>
    <x v="14"/>
    <m/>
    <m/>
    <m/>
    <m/>
    <n v="53"/>
    <n v="59"/>
    <s v="SUKAJADI"/>
    <s v="SUKAJADI"/>
    <x v="7"/>
  </r>
  <r>
    <n v="317"/>
    <s v="PAUD KENANGA"/>
    <m/>
    <m/>
    <x v="14"/>
    <m/>
    <m/>
    <m/>
    <m/>
    <n v="19"/>
    <n v="21"/>
    <s v="SUKAMANTRI"/>
    <s v="SUKAMANTRI"/>
    <x v="8"/>
  </r>
  <r>
    <n v="318"/>
    <s v="UMMI AL-RASYID"/>
    <m/>
    <m/>
    <x v="14"/>
    <m/>
    <m/>
    <m/>
    <m/>
    <n v="38"/>
    <n v="40"/>
    <s v="SUKAMANTRI"/>
    <s v="SUKAMANTRI"/>
    <x v="8"/>
  </r>
  <r>
    <n v="319"/>
    <s v="RA AL - KHAWARIZMI AN NUR"/>
    <m/>
    <m/>
    <x v="14"/>
    <m/>
    <m/>
    <m/>
    <m/>
    <n v="25"/>
    <n v="27"/>
    <s v="SUKAMANTRI"/>
    <s v="KEC CIANJUR"/>
    <x v="28"/>
  </r>
  <r>
    <n v="320"/>
    <s v="RA PERSIS NO 380 Al-ittihad"/>
    <m/>
    <m/>
    <x v="14"/>
    <m/>
    <m/>
    <m/>
    <m/>
    <n v="26"/>
    <n v="28"/>
    <s v="SUKAMANTRI"/>
    <s v="KEC CIANJUR"/>
    <x v="28"/>
  </r>
  <r>
    <n v="321"/>
    <s v="TK TRI DHARMA KOSGORO"/>
    <m/>
    <m/>
    <x v="14"/>
    <m/>
    <m/>
    <m/>
    <m/>
    <n v="34"/>
    <n v="36"/>
    <s v="SUKAMANTRI"/>
    <s v="KEC CIANJUR"/>
    <x v="28"/>
  </r>
  <r>
    <n v="322"/>
    <s v="TKQ NURANI ANAK BANGSA"/>
    <m/>
    <m/>
    <x v="14"/>
    <m/>
    <m/>
    <m/>
    <m/>
    <n v="16"/>
    <n v="17"/>
    <s v="SUKAMANTRI"/>
    <s v="HEGARMANAH 2"/>
    <x v="25"/>
  </r>
  <r>
    <n v="323"/>
    <s v="RA Persis Baiturrahim"/>
    <m/>
    <m/>
    <x v="14"/>
    <m/>
    <m/>
    <m/>
    <m/>
    <n v="29"/>
    <n v="34"/>
    <s v="SUKATARIS"/>
    <s v="KEC CIANJUR"/>
    <x v="28"/>
  </r>
  <r>
    <n v="324"/>
    <s v="SD Islam Al-Maad"/>
    <m/>
    <m/>
    <x v="14"/>
    <m/>
    <m/>
    <m/>
    <m/>
    <n v="52"/>
    <n v="63"/>
    <s v="SUKATARIS"/>
    <s v="KEC CIANJUR"/>
    <x v="28"/>
  </r>
  <r>
    <n v="325"/>
    <s v="TK Al-Maad"/>
    <m/>
    <m/>
    <x v="14"/>
    <m/>
    <m/>
    <m/>
    <m/>
    <n v="16"/>
    <n v="19"/>
    <s v="SUKATARIS"/>
    <s v="KEC CIANJUR"/>
    <x v="28"/>
  </r>
  <r>
    <n v="326"/>
    <s v="TK Miftahul Huda"/>
    <m/>
    <m/>
    <x v="14"/>
    <m/>
    <m/>
    <m/>
    <m/>
    <n v="21"/>
    <n v="25"/>
    <s v="SUKATARIS"/>
    <s v="SUKATARIS"/>
    <x v="0"/>
  </r>
  <r>
    <n v="327"/>
    <s v="TK LESQ CERIA SAMOLA"/>
    <m/>
    <m/>
    <x v="14"/>
    <m/>
    <m/>
    <m/>
    <m/>
    <n v="39"/>
    <n v="39"/>
    <s v="CIHERANG 2"/>
    <s v="CIHERANG 2"/>
    <x v="5"/>
  </r>
  <r>
    <n v="328"/>
    <s v="TKIT MAHARANI PUTRI"/>
    <m/>
    <m/>
    <x v="14"/>
    <m/>
    <m/>
    <m/>
    <m/>
    <n v="37"/>
    <n v="37"/>
    <m/>
    <s v="CIHERANG 2"/>
    <x v="26"/>
  </r>
  <r>
    <n v="329"/>
    <s v="PAUD ATTANWIR"/>
    <m/>
    <m/>
    <x v="14"/>
    <m/>
    <m/>
    <m/>
    <m/>
    <m/>
    <n v="22"/>
    <m/>
    <s v="BOJONG 5"/>
    <x v="16"/>
  </r>
  <r>
    <n v="330"/>
    <s v="PONPES PASTAWA"/>
    <m/>
    <m/>
    <x v="14"/>
    <m/>
    <m/>
    <m/>
    <m/>
    <n v="65"/>
    <n v="79"/>
    <m/>
    <m/>
    <x v="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26">
  <r>
    <n v="1"/>
    <s v="TK  HARAPAN BUNDA"/>
    <m/>
    <n v="20257296"/>
    <x v="0"/>
    <s v="Karangtengah"/>
    <s v="SUKATARIS"/>
    <s v="Swasta"/>
    <n v="8"/>
    <n v="8"/>
    <n v="8"/>
    <x v="0"/>
    <x v="0"/>
    <s v="SUKATARIS"/>
  </r>
  <r>
    <n v="2"/>
    <s v="TK  PELITA HATI"/>
    <m/>
    <n v="69908414"/>
    <x v="0"/>
    <s v="Karangtengah"/>
    <s v="MALEBER"/>
    <s v="Swasta"/>
    <n v="27"/>
    <n v="28"/>
    <n v="32"/>
    <x v="1"/>
    <x v="1"/>
    <s v="MALEBER"/>
  </r>
  <r>
    <n v="3"/>
    <s v="TK AL IHSAN"/>
    <m/>
    <n v="20255306"/>
    <x v="0"/>
    <s v="Karangtengah"/>
    <s v="BOJONG"/>
    <s v="Swasta"/>
    <n v="50"/>
    <n v="52"/>
    <n v="57"/>
    <x v="2"/>
    <x v="2"/>
    <s v="BOJONG 1"/>
  </r>
  <r>
    <n v="4"/>
    <s v="TK AL LAWIYYIN"/>
    <m/>
    <n v="20255323"/>
    <x v="0"/>
    <s v="Karangtengah"/>
    <s v="MALEBER"/>
    <s v="Swasta"/>
    <n v="34"/>
    <n v="34"/>
    <n v="34"/>
    <x v="3"/>
    <x v="3"/>
    <s v="0DITANGGUHKAN"/>
  </r>
  <r>
    <n v="5"/>
    <s v="TK AL-FAIDAH"/>
    <m/>
    <n v="69880598"/>
    <x v="0"/>
    <s v="Karangtengah"/>
    <s v="BOJONG"/>
    <s v="Swasta"/>
    <n v="57"/>
    <n v="57"/>
    <n v="67"/>
    <x v="4"/>
    <x v="2"/>
    <s v="BOJONG 4"/>
  </r>
  <r>
    <n v="6"/>
    <s v="TK AL-IKHLAS ASSHIDIQIYYAH"/>
    <m/>
    <n v="69908419"/>
    <x v="0"/>
    <s v="Karangtengah"/>
    <s v="SABANDAR"/>
    <s v="Swasta"/>
    <n v="32"/>
    <n v="32"/>
    <n v="38"/>
    <x v="4"/>
    <x v="4"/>
    <s v="BOJONG 4"/>
  </r>
  <r>
    <n v="7"/>
    <s v="TK AL-MUJAHADAH"/>
    <m/>
    <n v="70009117"/>
    <x v="0"/>
    <s v="Karangtengah"/>
    <s v="BABAKANCARINGIN"/>
    <s v="Swasta"/>
    <n v="39"/>
    <n v="45"/>
    <n v="47"/>
    <x v="5"/>
    <x v="5"/>
    <s v="CIHERANG 2"/>
  </r>
  <r>
    <n v="8"/>
    <s v="TK AN NASHIR ISLAMIC KINDERGARTEN"/>
    <m/>
    <n v="70052218"/>
    <x v="0"/>
    <s v="Karangtengah"/>
    <s v="BOJONG"/>
    <s v="Swasta"/>
    <n v="63"/>
    <n v="63"/>
    <n v="63"/>
    <x v="0"/>
    <x v="6"/>
    <s v="0MENOLAK"/>
  </r>
  <r>
    <n v="9"/>
    <s v="TK ANGGREK BULAN"/>
    <m/>
    <n v="20255309"/>
    <x v="0"/>
    <s v="Karangtengah"/>
    <s v="SUKAJADI"/>
    <s v="Swasta"/>
    <n v="35"/>
    <n v="35"/>
    <n v="35"/>
    <x v="6"/>
    <x v="7"/>
    <s v="SUKAJADI"/>
  </r>
  <r>
    <n v="10"/>
    <s v="TK ASMA NADIA"/>
    <m/>
    <n v="69893098"/>
    <x v="0"/>
    <s v="Karangtengah"/>
    <s v="SUKAMANTRI"/>
    <s v="Swasta"/>
    <n v="34"/>
    <n v="45"/>
    <n v="47"/>
    <x v="5"/>
    <x v="8"/>
    <s v="SUKAMANTRI"/>
  </r>
  <r>
    <n v="11"/>
    <s v="TK BAITUL AMANAH"/>
    <m/>
    <n v="20255322"/>
    <x v="0"/>
    <s v="Karangtengah"/>
    <s v="HEGARMANAH"/>
    <s v="Swasta"/>
    <n v="33"/>
    <n v="35"/>
    <n v="39"/>
    <x v="7"/>
    <x v="9"/>
    <s v="SINDANGLAKA 4"/>
  </r>
  <r>
    <n v="12"/>
    <s v="TK BINTANG KECIL"/>
    <m/>
    <n v="20255321"/>
    <x v="0"/>
    <s v="Karangtengah"/>
    <s v="SABANDAR"/>
    <s v="Swasta"/>
    <n v="21"/>
    <n v="21"/>
    <n v="25"/>
    <x v="8"/>
    <x v="10"/>
    <s v="SABANDAR 2"/>
  </r>
  <r>
    <n v="13"/>
    <s v="TK BUNGA PERSADA"/>
    <m/>
    <n v="69915798"/>
    <x v="0"/>
    <s v="Karangtengah"/>
    <s v="SUKAMULYA"/>
    <s v="Swasta"/>
    <n v="24"/>
    <n v="25"/>
    <n v="29"/>
    <x v="9"/>
    <x v="11"/>
    <s v="SINDANGLAKA 2"/>
  </r>
  <r>
    <n v="14"/>
    <s v="TK ISLAM AL-MADINAH"/>
    <m/>
    <n v="69916912"/>
    <x v="0"/>
    <s v="Karangtengah"/>
    <s v="CIHERANG"/>
    <s v="Swasta"/>
    <n v="66"/>
    <n v="70"/>
    <n v="82"/>
    <x v="10"/>
    <x v="12"/>
    <s v="CIHERANG 1"/>
  </r>
  <r>
    <n v="15"/>
    <s v="TK IT AL-FATIH"/>
    <m/>
    <n v="70037208"/>
    <x v="0"/>
    <s v="Karangtengah"/>
    <s v="SUKAMANAH"/>
    <s v="Swasta"/>
    <n v="38"/>
    <n v="45"/>
    <n v="50"/>
    <x v="11"/>
    <x v="13"/>
    <s v="SINDANGASIH 2"/>
  </r>
  <r>
    <n v="16"/>
    <s v="TK IT ANNISA"/>
    <m/>
    <n v="70047369"/>
    <x v="0"/>
    <s v="Karangtengah"/>
    <s v="SINDANGLAKA"/>
    <s v="Swasta"/>
    <n v="105"/>
    <n v="105"/>
    <n v="105"/>
    <x v="3"/>
    <x v="3"/>
    <s v="0DITANGGUHKAN"/>
  </r>
  <r>
    <n v="17"/>
    <s v="TK IT DAAR EL MUMTAAZ CIANJUR"/>
    <m/>
    <n v="70038440"/>
    <x v="0"/>
    <s v="Karangtengah"/>
    <s v="SUKASARANA"/>
    <s v="Swasta"/>
    <n v="95"/>
    <n v="18"/>
    <n v="89"/>
    <x v="10"/>
    <x v="12"/>
    <s v="CIHERANG 1"/>
  </r>
  <r>
    <n v="18"/>
    <s v="TK IT TAHFIDZ AL-MANSUR"/>
    <m/>
    <n v="70026825"/>
    <x v="0"/>
    <s v="Karangtengah"/>
    <s v="SUKAMANAH"/>
    <s v="Swasta"/>
    <n v="34"/>
    <n v="160"/>
    <n v="42"/>
    <x v="12"/>
    <x v="14"/>
    <s v="BOJONG 3"/>
  </r>
  <r>
    <n v="19"/>
    <s v="TK KARTIKA XIX-5"/>
    <m/>
    <n v="69907644"/>
    <x v="0"/>
    <s v="Karangtengah"/>
    <s v="SUKATARIS"/>
    <s v="Swasta"/>
    <n v="25"/>
    <n v="235"/>
    <n v="28"/>
    <x v="13"/>
    <x v="0"/>
    <s v="SUKATARIS"/>
  </r>
  <r>
    <n v="20"/>
    <s v="TK MIFTAHUL GINA"/>
    <m/>
    <n v="20255312"/>
    <x v="0"/>
    <s v="Karangtengah"/>
    <s v="SINDANGASIH"/>
    <s v="Swasta"/>
    <n v="45"/>
    <n v="0"/>
    <n v="55"/>
    <x v="11"/>
    <x v="13"/>
    <s v="SINDANGASIH"/>
  </r>
  <r>
    <n v="21"/>
    <s v="TK MIFTAHUL HUDA"/>
    <m/>
    <n v="70010903"/>
    <x v="0"/>
    <s v="Karangtengah"/>
    <s v="SABANDAR"/>
    <s v="Swasta"/>
    <n v="21"/>
    <n v="173"/>
    <n v="45"/>
    <x v="8"/>
    <x v="10"/>
    <s v="SABANDAR 2"/>
  </r>
  <r>
    <n v="22"/>
    <s v="TK MUTIARA ILMU"/>
    <m/>
    <n v="69949917"/>
    <x v="0"/>
    <s v="Karangtengah"/>
    <s v="CIHERANG"/>
    <s v="Swasta"/>
    <n v="10"/>
    <n v="1"/>
    <n v="16"/>
    <x v="10"/>
    <x v="12"/>
    <s v="CIHERANG 1"/>
  </r>
  <r>
    <n v="23"/>
    <s v="TK MUTIARA QOLBU"/>
    <m/>
    <n v="69991763"/>
    <x v="0"/>
    <s v="Karangtengah"/>
    <s v="MALEBER"/>
    <s v="Swasta"/>
    <n v="34"/>
    <n v="40"/>
    <n v="43"/>
    <x v="7"/>
    <x v="15"/>
    <s v="BOJONG 5"/>
  </r>
  <r>
    <n v="24"/>
    <s v="TK NUR SYAMSI"/>
    <m/>
    <n v="70026385"/>
    <x v="0"/>
    <s v="Karangtengah"/>
    <s v="SUKAMANAH"/>
    <s v="Swasta"/>
    <n v="11"/>
    <n v="0"/>
    <n v="18"/>
    <x v="12"/>
    <x v="14"/>
    <s v="BOJONG 3"/>
  </r>
  <r>
    <n v="25"/>
    <s v="TK NURUL FALAH"/>
    <m/>
    <n v="20255313"/>
    <x v="0"/>
    <s v="Karangtengah"/>
    <s v="BOJONG"/>
    <s v="Swasta"/>
    <n v="35"/>
    <n v="165"/>
    <n v="41"/>
    <x v="14"/>
    <x v="16"/>
    <s v="HEGARMANAH 3"/>
  </r>
  <r>
    <n v="26"/>
    <s v="TK NURUL WATHAN"/>
    <m/>
    <n v="20255314"/>
    <x v="0"/>
    <s v="Karangtengah"/>
    <s v="SABANDAR"/>
    <s v="Swasta"/>
    <n v="74"/>
    <n v="307"/>
    <n v="87"/>
    <x v="14"/>
    <x v="16"/>
    <s v="HEGARMANAH 3"/>
  </r>
  <r>
    <n v="27"/>
    <s v="TK NURUSSHIBYAN"/>
    <m/>
    <n v="20255308"/>
    <x v="0"/>
    <s v="Karangtengah"/>
    <s v="BOJONG"/>
    <s v="Swasta"/>
    <n v="49"/>
    <n v="247"/>
    <n v="58"/>
    <x v="14"/>
    <x v="16"/>
    <s v="HEGARMANAH 3"/>
  </r>
  <r>
    <n v="28"/>
    <s v="TK PGRI 1 KARANGTENGAH"/>
    <m/>
    <n v="69908424"/>
    <x v="0"/>
    <s v="Karangtengah"/>
    <s v="HEGARMANAH"/>
    <s v="Swasta"/>
    <n v="47"/>
    <n v="0"/>
    <n v="53"/>
    <x v="14"/>
    <x v="16"/>
    <s v="HEGARMANAH 3"/>
  </r>
  <r>
    <n v="29"/>
    <s v="TK PGRI 2 KARANGTENGAH"/>
    <m/>
    <n v="69908432"/>
    <x v="0"/>
    <s v="Karangtengah"/>
    <s v="SUKAMANAH"/>
    <s v="Swasta"/>
    <n v="23"/>
    <n v="37"/>
    <n v="28"/>
    <x v="15"/>
    <x v="17"/>
    <s v="BOJONG 2"/>
  </r>
  <r>
    <n v="30"/>
    <s v="TK PUTRA PUTRI INDONESIA (P21)"/>
    <m/>
    <n v="70015256"/>
    <x v="0"/>
    <s v="Karangtengah"/>
    <s v="BABAKANCARINGIN"/>
    <s v="Swasta"/>
    <n v="18"/>
    <n v="354"/>
    <n v="21"/>
    <x v="5"/>
    <x v="5"/>
    <s v="CIHERANG 2"/>
  </r>
  <r>
    <n v="31"/>
    <s v="TK SAHABAT"/>
    <m/>
    <n v="69991186"/>
    <x v="0"/>
    <s v="Karangtengah"/>
    <s v="SABANDAR"/>
    <s v="Swasta"/>
    <n v="24"/>
    <n v="62"/>
    <n v="30"/>
    <x v="2"/>
    <x v="4"/>
    <s v="BOJONG 1"/>
  </r>
  <r>
    <n v="32"/>
    <s v="TK TUNAS HARAPAN"/>
    <m/>
    <n v="69975439"/>
    <x v="0"/>
    <s v="Karangtengah"/>
    <s v="CIHERANG"/>
    <s v="Swasta"/>
    <n v="19"/>
    <n v="51"/>
    <n v="20"/>
    <x v="16"/>
    <x v="5"/>
    <s v="CIHERANG 2"/>
  </r>
  <r>
    <n v="33"/>
    <s v="TKIT MAHARANI PUTRI"/>
    <m/>
    <n v="70026258"/>
    <x v="0"/>
    <s v="Karangtengah"/>
    <s v="CIHERANG"/>
    <s v="Swasta"/>
    <n v="30"/>
    <n v="63"/>
    <n v="29"/>
    <x v="4"/>
    <x v="9"/>
    <s v="SINDANGLAKA 4"/>
  </r>
  <r>
    <n v="34"/>
    <s v="KB AL-BAROOHIIN"/>
    <m/>
    <n v="69971955"/>
    <x v="1"/>
    <s v="Karangtengah"/>
    <s v="HEGARMANAH"/>
    <s v="Swasta"/>
    <n v="35"/>
    <n v="7"/>
    <n v="31"/>
    <x v="14"/>
    <x v="16"/>
    <s v="HEGARMANAH 3"/>
  </r>
  <r>
    <n v="35"/>
    <s v="KB AL-FAIDAH"/>
    <m/>
    <n v="69880601"/>
    <x v="1"/>
    <s v="Karangtengah"/>
    <s v="BOJONG"/>
    <s v="Swasta"/>
    <n v="19"/>
    <n v="40"/>
    <n v="23"/>
    <x v="4"/>
    <x v="2"/>
    <s v="BOJONG 4"/>
  </r>
  <r>
    <n v="36"/>
    <s v="KB AL-HAMIDIN"/>
    <m/>
    <n v="69964525"/>
    <x v="1"/>
    <s v="Karangtengah"/>
    <s v="LANGENSARI"/>
    <s v="Swasta"/>
    <n v="30"/>
    <n v="17"/>
    <n v="26"/>
    <x v="4"/>
    <x v="9"/>
    <s v="SINDANGLAKA 4"/>
  </r>
  <r>
    <n v="37"/>
    <s v="KB AL-HUDA"/>
    <m/>
    <n v="69992607"/>
    <x v="1"/>
    <s v="Karangtengah"/>
    <s v="SUKAMULYA"/>
    <s v="Swasta"/>
    <n v="22"/>
    <n v="25"/>
    <n v="30"/>
    <x v="17"/>
    <x v="18"/>
    <s v="SINDANGLAKA 3"/>
  </r>
  <r>
    <n v="38"/>
    <s v="KB AL-MUJAHADAH"/>
    <m/>
    <n v="69823593"/>
    <x v="1"/>
    <s v="Karangtengah"/>
    <s v="SABANDAR"/>
    <s v="Swasta"/>
    <n v="39"/>
    <n v="39"/>
    <n v="39"/>
    <x v="4"/>
    <x v="4"/>
    <m/>
  </r>
  <r>
    <n v="39"/>
    <s v="KB ANGGREK"/>
    <m/>
    <n v="69978037"/>
    <x v="1"/>
    <s v="Karangtengah"/>
    <s v="SINDANGLAKA"/>
    <s v="Swasta"/>
    <n v="16"/>
    <n v="6"/>
    <n v="8"/>
    <x v="18"/>
    <x v="19"/>
    <s v="SINDANGLAKA 1"/>
  </r>
  <r>
    <n v="40"/>
    <s v="KB ANNAHDOH"/>
    <m/>
    <n v="70000659"/>
    <x v="1"/>
    <s v="Karangtengah"/>
    <s v="SUKAJADI"/>
    <s v="Swasta"/>
    <n v="44"/>
    <n v="42"/>
    <n v="46"/>
    <x v="6"/>
    <x v="7"/>
    <s v="SUKAJADI"/>
  </r>
  <r>
    <n v="41"/>
    <s v="KB AS SADIKIN"/>
    <n v="4"/>
    <n v="70052723"/>
    <x v="1"/>
    <s v="Karangtengah"/>
    <s v="SUKASARI"/>
    <s v="Swasta"/>
    <n v="30"/>
    <n v="36"/>
    <n v="41"/>
    <x v="7"/>
    <x v="20"/>
    <s v="SUKASARI"/>
  </r>
  <r>
    <n v="42"/>
    <s v="KB ASRORUL HUKAMA"/>
    <m/>
    <n v="69978476"/>
    <x v="1"/>
    <s v="Karangtengah"/>
    <s v="SUKAJADI"/>
    <s v="Swasta"/>
    <n v="20"/>
    <n v="26"/>
    <n v="31"/>
    <x v="6"/>
    <x v="7"/>
    <s v="SUKAJADI"/>
  </r>
  <r>
    <n v="43"/>
    <s v="KB ASSIFA"/>
    <m/>
    <n v="70001235"/>
    <x v="1"/>
    <s v="Karangtengah"/>
    <s v="SUKAJADI"/>
    <s v="Swasta"/>
    <n v="81"/>
    <n v="17"/>
    <n v="20"/>
    <x v="6"/>
    <x v="7"/>
    <s v="SUKAJADI"/>
  </r>
  <r>
    <n v="44"/>
    <s v="KB AT-TANWIIR"/>
    <m/>
    <n v="70003877"/>
    <x v="1"/>
    <s v="Karangtengah"/>
    <s v="MALEBER"/>
    <s v="Swasta"/>
    <n v="17"/>
    <m/>
    <m/>
    <x v="19"/>
    <x v="21"/>
    <m/>
  </r>
  <r>
    <n v="45"/>
    <s v="KB AT-TAUFIQ AL-ISTIQLAAL"/>
    <m/>
    <n v="69984066"/>
    <x v="1"/>
    <s v="Karangtengah"/>
    <s v="SUKAJADI"/>
    <s v="Swasta"/>
    <n v="62"/>
    <n v="38"/>
    <n v="40"/>
    <x v="6"/>
    <x v="7"/>
    <s v="SUKAJADI"/>
  </r>
  <r>
    <n v="46"/>
    <s v="KB AZ-ZAHRA"/>
    <m/>
    <n v="70008259"/>
    <x v="1"/>
    <s v="Karangtengah"/>
    <s v="SUKASARANA"/>
    <s v="Swasta"/>
    <n v="36"/>
    <n v="38"/>
    <n v="38"/>
    <x v="16"/>
    <x v="8"/>
    <s v="SUKAMANTRI"/>
  </r>
  <r>
    <n v="47"/>
    <s v="KB CENDRAWASIH"/>
    <m/>
    <n v="70038479"/>
    <x v="1"/>
    <s v="Karangtengah"/>
    <s v="SUKAMANTRI"/>
    <s v="Swasta"/>
    <n v="65"/>
    <n v="63"/>
    <n v="66"/>
    <x v="5"/>
    <x v="8"/>
    <s v="SUKAMANTRI 2"/>
  </r>
  <r>
    <n v="48"/>
    <s v="KB FALAHUL MUBTADIIN"/>
    <m/>
    <n v="69987012"/>
    <x v="1"/>
    <s v="Karangtengah"/>
    <s v="LANGENSARI"/>
    <s v="Swasta"/>
    <n v="45"/>
    <n v="32"/>
    <n v="34"/>
    <x v="4"/>
    <x v="9"/>
    <s v="SINDANGLAKA 4"/>
  </r>
  <r>
    <n v="49"/>
    <s v="KB MAWAR YONIF 300 / RAIDER"/>
    <m/>
    <n v="69823491"/>
    <x v="1"/>
    <s v="Karangtengah"/>
    <s v="SUKATARIS"/>
    <s v="Swasta"/>
    <n v="49"/>
    <n v="36"/>
    <n v="38"/>
    <x v="13"/>
    <x v="0"/>
    <s v="SUKATARIS"/>
  </r>
  <r>
    <n v="50"/>
    <s v="KB MUCHTAR AL-FATIH"/>
    <m/>
    <n v="69990543"/>
    <x v="1"/>
    <s v="Karangtengah"/>
    <s v="SUKAJADI"/>
    <s v="Swasta"/>
    <n v="22"/>
    <n v="20"/>
    <n v="25"/>
    <x v="6"/>
    <x v="7"/>
    <s v="SUKAJADI"/>
  </r>
  <r>
    <n v="51"/>
    <s v="KB RUMSITI"/>
    <m/>
    <n v="70028798"/>
    <x v="1"/>
    <s v="Karangtengah"/>
    <s v="HEGARMANAH"/>
    <s v="Swasta"/>
    <n v="57"/>
    <n v="37"/>
    <n v="44"/>
    <x v="7"/>
    <x v="9"/>
    <s v="SINDANGLAKA 4"/>
  </r>
  <r>
    <n v="52"/>
    <s v="KB TARBIYYATUL FALAH"/>
    <m/>
    <n v="69991462"/>
    <x v="1"/>
    <s v="Karangtengah"/>
    <s v="SUKASARANA"/>
    <s v="Swasta"/>
    <n v="14"/>
    <n v="9"/>
    <n v="11"/>
    <x v="5"/>
    <x v="8"/>
    <s v="SUKAMANTRI"/>
  </r>
  <r>
    <n v="53"/>
    <s v="KB TARBIYYATUS SHIBYAN"/>
    <m/>
    <n v="69823527"/>
    <x v="1"/>
    <s v="Karangtengah"/>
    <s v="HEGARMANAH"/>
    <s v="Swasta"/>
    <n v="20"/>
    <n v="19"/>
    <n v="23"/>
    <x v="20"/>
    <x v="22"/>
    <s v="HEGARMANAH 1"/>
  </r>
  <r>
    <n v="54"/>
    <s v="KB. AL-MAWA"/>
    <m/>
    <n v="69823566"/>
    <x v="1"/>
    <s v="Karangtengah"/>
    <s v="BABAKANCARINGIN"/>
    <s v="Swasta"/>
    <n v="42"/>
    <n v="42"/>
    <n v="44"/>
    <x v="5"/>
    <x v="5"/>
    <s v="CIHERANG 2"/>
  </r>
  <r>
    <n v="55"/>
    <s v="KB. AL-MIZAN"/>
    <m/>
    <n v="69823580"/>
    <x v="1"/>
    <s v="Karangtengah"/>
    <s v="LANGENSARI"/>
    <s v="Swasta"/>
    <n v="29"/>
    <n v="28"/>
    <n v="31"/>
    <x v="4"/>
    <x v="4"/>
    <s v="SUKASARI"/>
  </r>
  <r>
    <n v="56"/>
    <s v="KB. ALHIDAYAH"/>
    <m/>
    <n v="69823556"/>
    <x v="1"/>
    <s v="Karangtengah"/>
    <s v="SUKASARANA"/>
    <s v="Swasta"/>
    <n v="33"/>
    <n v="33"/>
    <n v="35"/>
    <x v="5"/>
    <x v="8"/>
    <s v="SUKAMANTRI"/>
  </r>
  <r>
    <n v="57"/>
    <s v="KB. NURUL ISLAM"/>
    <m/>
    <n v="69823650"/>
    <x v="1"/>
    <s v="Karangtengah"/>
    <s v="BABAKANCARINGIN"/>
    <s v="Swasta"/>
    <n v="21"/>
    <n v="21"/>
    <n v="38"/>
    <x v="19"/>
    <x v="8"/>
    <s v="SUKAMANTRI 2"/>
  </r>
  <r>
    <n v="58"/>
    <s v="KB. NURUL ROHMAH"/>
    <m/>
    <n v="69823661"/>
    <x v="1"/>
    <s v="Karangtengah"/>
    <s v="SUKAMANAH"/>
    <s v="Swasta"/>
    <n v="65"/>
    <n v="57"/>
    <n v="59"/>
    <x v="11"/>
    <x v="13"/>
    <s v="SINDANGASIH 2"/>
  </r>
  <r>
    <n v="59"/>
    <s v="KB. PERKUTUT"/>
    <m/>
    <n v="69823431"/>
    <x v="1"/>
    <s v="Karangtengah"/>
    <s v="SUKAMANTRI"/>
    <s v="Swasta"/>
    <n v="50"/>
    <n v="32"/>
    <n v="35"/>
    <x v="5"/>
    <x v="8"/>
    <s v="SUKAMANTRI 2"/>
  </r>
  <r>
    <n v="60"/>
    <s v="PAUD  AL-HIDAYAH"/>
    <m/>
    <n v="69907576"/>
    <x v="1"/>
    <s v="Karangtengah"/>
    <s v="SINDANGLAKA"/>
    <s v="Swasta"/>
    <n v="42"/>
    <n v="38"/>
    <n v="42"/>
    <x v="17"/>
    <x v="18"/>
    <s v="SINDANGLAKA 3"/>
  </r>
  <r>
    <n v="61"/>
    <s v="PAUD AL IHYA"/>
    <m/>
    <n v="69940182"/>
    <x v="1"/>
    <s v="Karangtengah"/>
    <s v="SINDANGASIH"/>
    <s v="Swasta"/>
    <n v="14"/>
    <n v="15"/>
    <n v="19"/>
    <x v="11"/>
    <x v="13"/>
    <s v="SINDANGASIH"/>
  </r>
  <r>
    <n v="62"/>
    <s v="PAUD AN-NADWAH"/>
    <m/>
    <n v="69823610"/>
    <x v="1"/>
    <s v="Karangtengah"/>
    <s v="SUKATARIS"/>
    <s v="Swasta"/>
    <n v="22"/>
    <n v="24"/>
    <n v="27"/>
    <x v="17"/>
    <x v="18"/>
    <s v="SINDANGLAKA 3"/>
  </r>
  <r>
    <n v="63"/>
    <s v="PAUD ASYFA SEROJA"/>
    <m/>
    <n v="69949429"/>
    <x v="1"/>
    <s v="Karangtengah"/>
    <s v="BABAKANCARINGIN"/>
    <s v="Swasta"/>
    <n v="15"/>
    <n v="21"/>
    <n v="21"/>
    <x v="16"/>
    <x v="5"/>
    <s v="CIHERANG 2"/>
  </r>
  <r>
    <n v="64"/>
    <s v="PAUD BASMALAH HAMDALAH"/>
    <m/>
    <n v="69823633"/>
    <x v="1"/>
    <s v="Karangtengah"/>
    <s v="MALEBER"/>
    <s v="Swasta"/>
    <n v="27"/>
    <n v="22"/>
    <n v="27"/>
    <x v="21"/>
    <x v="1"/>
    <s v="MALEBER"/>
  </r>
  <r>
    <n v="65"/>
    <s v="PAUD CIIMBANGSARI"/>
    <m/>
    <n v="69945727"/>
    <x v="1"/>
    <s v="Karangtengah"/>
    <s v="HEGARMANAH"/>
    <s v="Swasta"/>
    <n v="60"/>
    <n v="56"/>
    <n v="60"/>
    <x v="21"/>
    <x v="15"/>
    <s v="HEGARMANAH 2"/>
  </r>
  <r>
    <n v="66"/>
    <s v="PAUD DAARUT TAQWA ASYAMSURIYYAH"/>
    <m/>
    <n v="69911089"/>
    <x v="1"/>
    <s v="Karangtengah"/>
    <s v="SABANDAR"/>
    <s v="Swasta"/>
    <n v="28"/>
    <n v="31"/>
    <n v="33"/>
    <x v="4"/>
    <x v="4"/>
    <s v="BOJONG 4"/>
  </r>
  <r>
    <n v="67"/>
    <s v="PAUD DARUL HUDA"/>
    <m/>
    <n v="69893108"/>
    <x v="1"/>
    <s v="Karangtengah"/>
    <s v="BOJONG"/>
    <s v="Swasta"/>
    <n v="72"/>
    <n v="21"/>
    <n v="24"/>
    <x v="17"/>
    <x v="18"/>
    <s v="SINDANGLAKA 3"/>
  </r>
  <r>
    <n v="68"/>
    <s v="PAUD DZUANNUR"/>
    <m/>
    <n v="69916259"/>
    <x v="1"/>
    <s v="Karangtengah"/>
    <s v="SINDANGLAKA"/>
    <s v="Swasta"/>
    <n v="7"/>
    <m/>
    <m/>
    <x v="19"/>
    <x v="11"/>
    <s v="SINDANGLAKA 2"/>
  </r>
  <r>
    <n v="69"/>
    <s v="PAUD HJ. HAMIDAH"/>
    <m/>
    <n v="69911836"/>
    <x v="1"/>
    <s v="Karangtengah"/>
    <s v="SINDANGASIH"/>
    <s v="Swasta"/>
    <n v="20"/>
    <n v="18"/>
    <n v="21"/>
    <x v="11"/>
    <x v="13"/>
    <s v="SINDANGASIH"/>
  </r>
  <r>
    <n v="70"/>
    <s v="PAUD KASIH IBU"/>
    <m/>
    <n v="69938855"/>
    <x v="1"/>
    <s v="Karangtengah"/>
    <s v="SUKAMULYA"/>
    <s v="Swasta"/>
    <n v="29"/>
    <n v="28"/>
    <n v="32"/>
    <x v="17"/>
    <x v="18"/>
    <s v="SINDANGLAKA 3"/>
  </r>
  <r>
    <n v="71"/>
    <s v="PAUD MIFTAHUL HUDA SADEWATA"/>
    <m/>
    <n v="69949426"/>
    <x v="1"/>
    <s v="Karangtengah"/>
    <s v="BOJONG"/>
    <s v="Swasta"/>
    <n v="50"/>
    <n v="22"/>
    <n v="28"/>
    <x v="13"/>
    <x v="0"/>
    <s v="SUKATARIS"/>
  </r>
  <r>
    <n v="72"/>
    <s v="PAUD MIFTAHUL JANNAH"/>
    <m/>
    <n v="69823640"/>
    <x v="1"/>
    <s v="Karangtengah"/>
    <s v="CIHERANG"/>
    <s v="Swasta"/>
    <n v="48"/>
    <n v="48"/>
    <n v="55"/>
    <x v="10"/>
    <x v="12"/>
    <s v="CIHERANG 1"/>
  </r>
  <r>
    <n v="73"/>
    <s v="PAUD MIFTAHUL ULUM"/>
    <m/>
    <n v="69915088"/>
    <x v="1"/>
    <s v="Karangtengah"/>
    <s v="CIHERANG"/>
    <s v="Swasta"/>
    <n v="26"/>
    <n v="20"/>
    <n v="24"/>
    <x v="10"/>
    <x v="12"/>
    <s v="CIHERANG 1"/>
  </r>
  <r>
    <n v="74"/>
    <s v="PAUD NURUL IKHLAS"/>
    <m/>
    <n v="69923928"/>
    <x v="1"/>
    <s v="Karangtengah"/>
    <s v="CIHERANG"/>
    <s v="Swasta"/>
    <n v="26"/>
    <n v="27"/>
    <n v="27"/>
    <x v="16"/>
    <x v="5"/>
    <s v="CIHERANG 2"/>
  </r>
  <r>
    <n v="75"/>
    <s v="PAUD SYAHIDAN"/>
    <m/>
    <n v="69913689"/>
    <x v="1"/>
    <s v="Karangtengah"/>
    <s v="SUKATARIS"/>
    <s v="Swasta"/>
    <n v="65"/>
    <n v="25"/>
    <n v="30"/>
    <x v="17"/>
    <x v="0"/>
    <s v="SUKATARIS"/>
  </r>
  <r>
    <n v="76"/>
    <s v="PAUD MELATI"/>
    <m/>
    <n v="69823720"/>
    <x v="2"/>
    <s v="Karangtengah"/>
    <s v="SINDANGLAKA"/>
    <s v="Swasta"/>
    <n v="39"/>
    <n v="36"/>
    <n v="41"/>
    <x v="17"/>
    <x v="18"/>
    <s v="SINDANGLAKA 3"/>
  </r>
  <r>
    <n v="77"/>
    <s v="PAUD AL HIDAYAH"/>
    <m/>
    <n v="69943792"/>
    <x v="2"/>
    <s v="Karangtengah"/>
    <s v="SABANDAR"/>
    <s v="Swasta"/>
    <n v="21"/>
    <n v="21"/>
    <n v="26"/>
    <x v="8"/>
    <x v="10"/>
    <s v="SABANDAR 2"/>
  </r>
  <r>
    <n v="78"/>
    <s v="PAUD AL-IKHLAS"/>
    <m/>
    <n v="69823822"/>
    <x v="2"/>
    <s v="Karangtengah"/>
    <s v="SINDANGLAKA"/>
    <s v="Swasta"/>
    <n v="32"/>
    <n v="40"/>
    <n v="43"/>
    <x v="17"/>
    <x v="11"/>
    <s v="SINDANGLAKA 2"/>
  </r>
  <r>
    <n v="79"/>
    <s v="PAUD ASTER"/>
    <m/>
    <n v="69823738"/>
    <x v="2"/>
    <s v="Karangtengah"/>
    <s v="HEGARMANAH"/>
    <s v="Swasta"/>
    <n v="24"/>
    <n v="29"/>
    <n v="34"/>
    <x v="7"/>
    <x v="8"/>
    <s v="SUKAMANTRI 2"/>
  </r>
  <r>
    <n v="80"/>
    <s v="PAUD CEMPAKA"/>
    <m/>
    <n v="69911085"/>
    <x v="2"/>
    <s v="Karangtengah"/>
    <s v="HEGARMANAH"/>
    <s v="Swasta"/>
    <n v="20"/>
    <m/>
    <m/>
    <x v="19"/>
    <x v="21"/>
    <m/>
  </r>
  <r>
    <n v="81"/>
    <s v="PAUD DAHLIA"/>
    <m/>
    <n v="69911303"/>
    <x v="2"/>
    <s v="Karangtengah"/>
    <s v="CIHERANG"/>
    <s v="Swasta"/>
    <n v="56"/>
    <n v="56"/>
    <n v="56"/>
    <x v="16"/>
    <x v="5"/>
    <s v="CIHERANG 2"/>
  </r>
  <r>
    <n v="82"/>
    <s v="PAUD MELATI"/>
    <m/>
    <n v="69943152"/>
    <x v="2"/>
    <s v="Karangtengah"/>
    <s v="HEGARMANAH"/>
    <s v="Swasta"/>
    <n v="32"/>
    <n v="32"/>
    <n v="35"/>
    <x v="7"/>
    <x v="9"/>
    <s v="SINDANGLAKA 4"/>
  </r>
  <r>
    <n v="83"/>
    <s v="PAUD MIFTAHUL MA ARIF"/>
    <n v="3"/>
    <n v="69918708"/>
    <x v="2"/>
    <s v="Karangtengah"/>
    <s v="SUKASARI"/>
    <s v="Swasta"/>
    <n v="34"/>
    <n v="36"/>
    <n v="40"/>
    <x v="7"/>
    <x v="20"/>
    <s v="SUKASARI"/>
  </r>
  <r>
    <n v="84"/>
    <s v="PAUD NURUL HIKMAH"/>
    <m/>
    <n v="69823759"/>
    <x v="2"/>
    <s v="Karangtengah"/>
    <s v="SUKATARIS"/>
    <s v="Swasta"/>
    <n v="43"/>
    <n v="46"/>
    <n v="54"/>
    <x v="13"/>
    <x v="0"/>
    <s v="SUKATARIS"/>
  </r>
  <r>
    <n v="85"/>
    <s v="PAUD TERATAI"/>
    <m/>
    <n v="69943165"/>
    <x v="2"/>
    <s v="Karangtengah"/>
    <s v="MALEBER"/>
    <s v="Swasta"/>
    <n v="33"/>
    <n v="22"/>
    <n v="27"/>
    <x v="1"/>
    <x v="15"/>
    <s v="BOJONG 5"/>
  </r>
  <r>
    <n v="86"/>
    <s v="POS PAUD ALMARWIYAH"/>
    <m/>
    <n v="69823697"/>
    <x v="2"/>
    <s v="Karangtengah"/>
    <s v="MALEBER"/>
    <s v="Swasta"/>
    <n v="17"/>
    <n v="14"/>
    <n v="16"/>
    <x v="1"/>
    <x v="1"/>
    <s v="MALEBER"/>
  </r>
  <r>
    <n v="87"/>
    <s v="POS PAUD AN-NURONIYYAH"/>
    <m/>
    <n v="69823701"/>
    <x v="2"/>
    <s v="Karangtengah"/>
    <s v="SUKAMULYA"/>
    <s v="Swasta"/>
    <n v="42"/>
    <n v="23"/>
    <n v="26"/>
    <x v="17"/>
    <x v="18"/>
    <s v="SINDANGLAKA 3"/>
  </r>
  <r>
    <n v="88"/>
    <s v="SPS SERUNI"/>
    <m/>
    <n v="69823674"/>
    <x v="2"/>
    <s v="Karangtengah"/>
    <s v="SUKATARIS"/>
    <s v="Swasta"/>
    <n v="29"/>
    <n v="20"/>
    <n v="23"/>
    <x v="17"/>
    <x v="0"/>
    <s v="SUKATARIS"/>
  </r>
  <r>
    <n v="89"/>
    <s v="SPS SIROJUL ATHFAL"/>
    <m/>
    <n v="70034616"/>
    <x v="2"/>
    <s v="Karangtengah"/>
    <s v="BABAKANCARINGIN"/>
    <s v="Swasta"/>
    <n v="54"/>
    <n v="57"/>
    <n v="59"/>
    <x v="5"/>
    <x v="8"/>
    <s v="SUKAMANTRI"/>
  </r>
  <r>
    <n v="90"/>
    <s v="SD NEGERI BABAKAN CARINGIN 1"/>
    <m/>
    <n v="20204307"/>
    <x v="3"/>
    <s v="Karangtengah"/>
    <s v="BABAKANCARINGIN"/>
    <s v="Negeri"/>
    <n v="202"/>
    <n v="227"/>
    <n v="241"/>
    <x v="18"/>
    <x v="5"/>
    <s v="CIHERANG 2"/>
  </r>
  <r>
    <n v="91"/>
    <s v="SD NEGERI BABAKAN CARINGIN 2"/>
    <m/>
    <n v="20204308"/>
    <x v="3"/>
    <s v="Karangtengah"/>
    <s v="BABAKANCARINGIN"/>
    <s v="Negeri"/>
    <n v="211"/>
    <n v="211"/>
    <n v="211"/>
    <x v="22"/>
    <x v="5"/>
    <s v="CIHERANG 2"/>
  </r>
  <r>
    <n v="92"/>
    <s v="SD NEGERI BABAKAN CARINGIN 3"/>
    <m/>
    <n v="20204322"/>
    <x v="3"/>
    <s v="Karangtengah"/>
    <s v="BABAKANCARINGIN"/>
    <s v="Negeri"/>
    <n v="236"/>
    <n v="236"/>
    <n v="246"/>
    <x v="7"/>
    <x v="5"/>
    <s v="SINDANGLAKA 5"/>
  </r>
  <r>
    <n v="93"/>
    <s v="SD NEGERI BAROS"/>
    <m/>
    <n v="20204331"/>
    <x v="3"/>
    <s v="Karangtengah"/>
    <s v="SUKATARIS"/>
    <s v="Negeri"/>
    <n v="374"/>
    <n v="386"/>
    <n v="405"/>
    <x v="18"/>
    <x v="19"/>
    <s v="SINDANGLAKA 1"/>
  </r>
  <r>
    <n v="94"/>
    <s v="SD NEGERI BOJONG 1"/>
    <m/>
    <n v="20204250"/>
    <x v="3"/>
    <s v="Karangtengah"/>
    <s v="SABANDAR"/>
    <s v="Negeri"/>
    <n v="455"/>
    <n v="462"/>
    <n v="482"/>
    <x v="4"/>
    <x v="4"/>
    <s v="BOJONG 4"/>
  </r>
  <r>
    <n v="95"/>
    <s v="SD NEGERI BOJONG 2"/>
    <m/>
    <n v="20204251"/>
    <x v="3"/>
    <s v="Karangtengah"/>
    <s v="BOJONG"/>
    <s v="Negeri"/>
    <n v="634"/>
    <n v="643"/>
    <n v="674"/>
    <x v="2"/>
    <x v="2"/>
    <s v="BOJONG 1"/>
  </r>
  <r>
    <n v="96"/>
    <s v="SD NEGERI BOJONG 3"/>
    <m/>
    <n v="20204252"/>
    <x v="3"/>
    <s v="Karangtengah"/>
    <s v="BOJONG"/>
    <s v="Negeri"/>
    <n v="155"/>
    <n v="157"/>
    <n v="168"/>
    <x v="8"/>
    <x v="4"/>
    <s v="BOJONG 5"/>
  </r>
  <r>
    <n v="97"/>
    <s v="SD NEGERI BOJONG 4"/>
    <n v="1"/>
    <n v="20204253"/>
    <x v="3"/>
    <s v="Karangtengah"/>
    <s v="BOJONG"/>
    <s v="Negeri"/>
    <n v="600"/>
    <n v="605"/>
    <n v="631"/>
    <x v="20"/>
    <x v="4"/>
    <s v="BOJONG 4"/>
  </r>
  <r>
    <n v="98"/>
    <s v="SD NEGERI BOJONG 5"/>
    <m/>
    <n v="20204254"/>
    <x v="3"/>
    <s v="Karangtengah"/>
    <s v="BOJONG"/>
    <s v="Negeri"/>
    <n v="0"/>
    <m/>
    <m/>
    <x v="19"/>
    <x v="21"/>
    <m/>
  </r>
  <r>
    <n v="99"/>
    <s v="SD NEGERI CIHERANGKENCANA"/>
    <m/>
    <n v="20204990"/>
    <x v="3"/>
    <s v="Karangtengah"/>
    <s v="CIHERANG"/>
    <s v="Negeri"/>
    <n v="532"/>
    <n v="532"/>
    <n v="532"/>
    <x v="16"/>
    <x v="5"/>
    <s v="CIHERANG 2"/>
  </r>
  <r>
    <n v="100"/>
    <s v="SD NEGERI CIJELER"/>
    <m/>
    <n v="20204973"/>
    <x v="3"/>
    <s v="Karangtengah"/>
    <s v="SUKAJADI"/>
    <s v="Negeri"/>
    <n v="220"/>
    <n v="220"/>
    <n v="220"/>
    <x v="22"/>
    <x v="7"/>
    <s v="SUKAJADI"/>
  </r>
  <r>
    <n v="101"/>
    <s v="SD NEGERI CIKANGKUNG"/>
    <m/>
    <n v="20205021"/>
    <x v="3"/>
    <s v="Karangtengah"/>
    <s v="SUKAJADI"/>
    <s v="Negeri"/>
    <n v="250"/>
    <n v="254"/>
    <n v="264"/>
    <x v="6"/>
    <x v="7"/>
    <s v="SUKAMANTRI 2"/>
  </r>
  <r>
    <n v="102"/>
    <s v="SD NEGERI CIKOLOTOK"/>
    <m/>
    <n v="20205001"/>
    <x v="3"/>
    <s v="Karangtengah"/>
    <s v="SUKAMULYA"/>
    <s v="Negeri"/>
    <n v="133"/>
    <n v="142"/>
    <n v="152"/>
    <x v="20"/>
    <x v="22"/>
    <s v="HEGARMANAH 1"/>
  </r>
  <r>
    <n v="103"/>
    <s v="SD NEGERI CIMALATI"/>
    <m/>
    <n v="20204921"/>
    <x v="3"/>
    <s v="Karangtengah"/>
    <s v="LANGENSARI"/>
    <s v="Negeri"/>
    <n v="112"/>
    <n v="112"/>
    <n v="112"/>
    <x v="23"/>
    <x v="23"/>
    <s v="SUKASARI"/>
  </r>
  <r>
    <n v="104"/>
    <s v="SD NEGERI CINTARESMI"/>
    <m/>
    <n v="20204968"/>
    <x v="3"/>
    <s v="Karangtengah"/>
    <s v="SUKAJADI"/>
    <s v="Negeri"/>
    <n v="283"/>
    <n v="289"/>
    <n v="303"/>
    <x v="6"/>
    <x v="7"/>
    <s v="SUKAJADI"/>
  </r>
  <r>
    <n v="105"/>
    <s v="SD NEGERI CIPADASUKA"/>
    <m/>
    <n v="20204949"/>
    <x v="3"/>
    <s v="Karangtengah"/>
    <s v="SUKASARANA"/>
    <s v="Negeri"/>
    <n v="205"/>
    <n v="205"/>
    <n v="218"/>
    <x v="10"/>
    <x v="12"/>
    <s v="SUKAMANTRI 2"/>
  </r>
  <r>
    <n v="106"/>
    <s v="SD NEGERI CITALANG"/>
    <m/>
    <n v="20204675"/>
    <x v="3"/>
    <s v="Karangtengah"/>
    <s v="SUKASARANA"/>
    <s v="Negeri"/>
    <n v="204"/>
    <n v="205"/>
    <n v="215"/>
    <x v="20"/>
    <x v="22"/>
    <s v="HEGARMANAH 1"/>
  </r>
  <r>
    <n v="107"/>
    <s v="SD NEGERI CIWARU"/>
    <m/>
    <n v="20204603"/>
    <x v="3"/>
    <s v="Karangtengah"/>
    <s v="HEGARMANAH"/>
    <s v="Negeri"/>
    <n v="320"/>
    <n v="320"/>
    <n v="334"/>
    <x v="7"/>
    <x v="9"/>
    <s v="SINDANGLAKA 4"/>
  </r>
  <r>
    <n v="108"/>
    <s v="SD NEGERI GADUNG"/>
    <m/>
    <n v="20204595"/>
    <x v="3"/>
    <s v="Karangtengah"/>
    <s v="SUKATARIS"/>
    <s v="Negeri"/>
    <n v="118"/>
    <n v="119"/>
    <n v="130"/>
    <x v="13"/>
    <x v="0"/>
    <s v="SUKATARIS"/>
  </r>
  <r>
    <n v="109"/>
    <s v="SD NEGERI HEGARMANAH"/>
    <m/>
    <n v="20204780"/>
    <x v="3"/>
    <s v="Karangtengah"/>
    <s v="HEGARMANAH"/>
    <s v="Negeri"/>
    <n v="192"/>
    <n v="198"/>
    <n v="210"/>
    <x v="20"/>
    <x v="22"/>
    <s v="HEGARMANAH 1"/>
  </r>
  <r>
    <n v="110"/>
    <s v="SD NEGERI KARANGTENGAH"/>
    <m/>
    <n v="20203551"/>
    <x v="3"/>
    <s v="Karangtengah"/>
    <s v="CIHERANG"/>
    <s v="Negeri"/>
    <n v="413"/>
    <n v="418"/>
    <n v="418"/>
    <x v="16"/>
    <x v="5"/>
    <s v="CIHERANG 2"/>
  </r>
  <r>
    <n v="111"/>
    <s v="SD NEGERI KEBONPALA"/>
    <n v="0"/>
    <n v="20203578"/>
    <x v="3"/>
    <s v="Karangtengah"/>
    <s v="BOJONG"/>
    <s v="Negeri"/>
    <n v="293"/>
    <n v="295"/>
    <n v="313"/>
    <x v="4"/>
    <x v="20"/>
    <s v="BOJONG 5"/>
  </r>
  <r>
    <n v="112"/>
    <s v="SD NEGERI KOPO"/>
    <m/>
    <n v="20204710"/>
    <x v="3"/>
    <s v="Karangtengah"/>
    <s v="SUKATARIS"/>
    <s v="Negeri"/>
    <n v="154"/>
    <n v="156"/>
    <n v="167"/>
    <x v="13"/>
    <x v="0"/>
    <s v="SUKATARIS"/>
  </r>
  <r>
    <n v="113"/>
    <s v="SD NEGERI LANGENSARI"/>
    <m/>
    <n v="20203476"/>
    <x v="3"/>
    <s v="Karangtengah"/>
    <s v="LANGENSARI"/>
    <s v="Negeri"/>
    <n v="191"/>
    <n v="193"/>
    <n v="204"/>
    <x v="7"/>
    <x v="23"/>
    <s v="SUKASARI"/>
  </r>
  <r>
    <n v="114"/>
    <s v="SD NEGERI LIO 1"/>
    <m/>
    <n v="20203524"/>
    <x v="3"/>
    <s v="Karangtengah"/>
    <s v="CIHERANG"/>
    <s v="Negeri"/>
    <n v="231"/>
    <n v="235"/>
    <n v="245"/>
    <x v="10"/>
    <x v="12"/>
    <s v="CIHERANG 1"/>
  </r>
  <r>
    <n v="115"/>
    <s v="SD NEGERI LIO 2"/>
    <m/>
    <n v="20203525"/>
    <x v="3"/>
    <s v="Karangtengah"/>
    <s v="CIHERANG"/>
    <s v="Negeri"/>
    <n v="156"/>
    <n v="158"/>
    <n v="169"/>
    <x v="10"/>
    <x v="12"/>
    <s v="CIHERANG 1"/>
  </r>
  <r>
    <n v="116"/>
    <s v="SD NEGERI MALEBER 1"/>
    <m/>
    <n v="20203513"/>
    <x v="3"/>
    <s v="Karangtengah"/>
    <s v="MALEBER"/>
    <s v="Negeri"/>
    <n v="689"/>
    <n v="690"/>
    <n v="712"/>
    <x v="1"/>
    <x v="15"/>
    <s v="HEGARMANAH 2"/>
  </r>
  <r>
    <n v="117"/>
    <s v="SD NEGERI MALEBER 3"/>
    <m/>
    <n v="20203527"/>
    <x v="3"/>
    <s v="Karangtengah"/>
    <s v="MALEBER"/>
    <s v="Negeri"/>
    <n v="269"/>
    <n v="271"/>
    <n v="283"/>
    <x v="1"/>
    <x v="1"/>
    <s v="MALEBER"/>
  </r>
  <r>
    <n v="118"/>
    <s v="SD NEGERI MALEBER 4"/>
    <m/>
    <n v="20203584"/>
    <x v="3"/>
    <s v="Karangtengah"/>
    <s v="MALEBER"/>
    <s v="Negeri"/>
    <n v="262"/>
    <n v="263"/>
    <n v="280"/>
    <x v="21"/>
    <x v="15"/>
    <s v="HEGARMANAH 2"/>
  </r>
  <r>
    <n v="119"/>
    <s v="SD NEGERI MARGALUYU 1"/>
    <m/>
    <n v="20203641"/>
    <x v="3"/>
    <s v="Karangtengah"/>
    <s v="LANGENSARI"/>
    <s v="Negeri"/>
    <n v="120"/>
    <n v="122"/>
    <n v="130"/>
    <x v="23"/>
    <x v="23"/>
    <s v="SINDANGASIH 2"/>
  </r>
  <r>
    <n v="120"/>
    <s v="SD NEGERI MARGALUYU 2"/>
    <m/>
    <n v="20203642"/>
    <x v="3"/>
    <s v="Karangtengah"/>
    <s v="LANGENSARI"/>
    <s v="Negeri"/>
    <n v="217"/>
    <n v="217"/>
    <n v="228"/>
    <x v="23"/>
    <x v="23"/>
    <s v="SINDANGASIH 2"/>
  </r>
  <r>
    <n v="121"/>
    <s v="SD NEGERI MEKARJAYA"/>
    <m/>
    <n v="20203687"/>
    <x v="3"/>
    <s v="Karangtengah"/>
    <s v="SABANDAR"/>
    <s v="Negeri"/>
    <n v="183"/>
    <n v="186"/>
    <n v="199"/>
    <x v="15"/>
    <x v="17"/>
    <s v="BOJONG 5"/>
  </r>
  <r>
    <n v="122"/>
    <s v="SD NEGERI PERUMNAS 1"/>
    <m/>
    <n v="20203285"/>
    <x v="3"/>
    <s v="Karangtengah"/>
    <s v="HEGARMANAH"/>
    <s v="Negeri"/>
    <n v="211"/>
    <n v="214"/>
    <n v="226"/>
    <x v="14"/>
    <x v="16"/>
    <s v="HEGARMANAH 3"/>
  </r>
  <r>
    <n v="123"/>
    <s v="SD NEGERI PERUMNAS 2"/>
    <m/>
    <n v="20203286"/>
    <x v="3"/>
    <s v="Karangtengah"/>
    <s v="HEGARMANAH"/>
    <s v="Negeri"/>
    <n v="208"/>
    <n v="211"/>
    <n v="222"/>
    <x v="14"/>
    <x v="16"/>
    <s v="HEGARMANAH 3"/>
  </r>
  <r>
    <n v="124"/>
    <s v="SD NEGERI SABANDAR"/>
    <m/>
    <n v="20203422"/>
    <x v="3"/>
    <s v="Karangtengah"/>
    <s v="SABANDAR"/>
    <s v="Negeri"/>
    <n v="218"/>
    <n v="218"/>
    <n v="229"/>
    <x v="8"/>
    <x v="10"/>
    <s v="SABANDAR 2"/>
  </r>
  <r>
    <n v="125"/>
    <s v="SD NEGERI SINDANGASIH"/>
    <m/>
    <n v="20203382"/>
    <x v="3"/>
    <s v="Karangtengah"/>
    <s v="SINDANGASIH"/>
    <s v="Negeri"/>
    <n v="240"/>
    <n v="240"/>
    <n v="253"/>
    <x v="11"/>
    <x v="13"/>
    <s v="SINDANGASIH"/>
  </r>
  <r>
    <n v="126"/>
    <s v="SD NEGERI SINDANGJAYA"/>
    <m/>
    <n v="20203403"/>
    <x v="3"/>
    <s v="Karangtengah"/>
    <s v="SINDANGLAKA"/>
    <s v="Negeri"/>
    <n v="218"/>
    <n v="220"/>
    <n v="230"/>
    <x v="18"/>
    <x v="19"/>
    <s v="SINDANGLAKA 1"/>
  </r>
  <r>
    <n v="127"/>
    <s v="SD NEGERI SINDANGLAKA"/>
    <m/>
    <n v="20203385"/>
    <x v="3"/>
    <s v="Karangtengah"/>
    <s v="SINDANGLAKA"/>
    <s v="Negeri"/>
    <n v="273"/>
    <n v="275"/>
    <n v="286"/>
    <x v="18"/>
    <x v="19"/>
    <s v="SINDANGLAKA 1"/>
  </r>
  <r>
    <n v="128"/>
    <s v="SD NEGERI SINDANGSARI"/>
    <m/>
    <n v="20203985"/>
    <x v="3"/>
    <s v="Karangtengah"/>
    <s v="SINDANGLAKA"/>
    <s v="Negeri"/>
    <n v="117"/>
    <n v="123"/>
    <n v="132"/>
    <x v="18"/>
    <x v="19"/>
    <s v="SINDANGLAKA 1"/>
  </r>
  <r>
    <n v="129"/>
    <s v="SD NEGERI SUKAJADI"/>
    <m/>
    <n v="20203931"/>
    <x v="3"/>
    <s v="Karangtengah"/>
    <s v="SUKAMANAH"/>
    <s v="Negeri"/>
    <n v="398"/>
    <n v="422"/>
    <n v="441"/>
    <x v="15"/>
    <x v="17"/>
    <s v="BOJONG 2"/>
  </r>
  <r>
    <n v="130"/>
    <s v="SD NEGERI SUKAMAJU"/>
    <m/>
    <n v="20203954"/>
    <x v="3"/>
    <s v="Karangtengah"/>
    <s v="SUKAMANAH"/>
    <s v="Negeri"/>
    <n v="155"/>
    <n v="160"/>
    <n v="171"/>
    <x v="12"/>
    <x v="14"/>
    <s v="BOJONG 3"/>
  </r>
  <r>
    <n v="131"/>
    <s v="SD NEGERI SUKAMANAH 1"/>
    <m/>
    <n v="20203942"/>
    <x v="3"/>
    <s v="Karangtengah"/>
    <s v="SUKAMANAH"/>
    <s v="Negeri"/>
    <n v="260"/>
    <n v="265"/>
    <n v="278"/>
    <x v="12"/>
    <x v="14"/>
    <s v="BOJONG 3"/>
  </r>
  <r>
    <n v="132"/>
    <s v="SD NEGERI SUKAMANAH 3"/>
    <m/>
    <n v="20203946"/>
    <x v="3"/>
    <s v="Karangtengah"/>
    <s v="SINDANGASIH"/>
    <s v="Negeri"/>
    <n v="477"/>
    <n v="483"/>
    <n v="503"/>
    <x v="12"/>
    <x v="14"/>
    <s v="BOJONG 3"/>
  </r>
  <r>
    <n v="133"/>
    <s v="SD NEGERI SUKAMANTRI 1"/>
    <m/>
    <n v="20203947"/>
    <x v="3"/>
    <s v="Karangtengah"/>
    <s v="SUKAMANTRI"/>
    <s v="Negeri"/>
    <n v="230"/>
    <n v="239"/>
    <n v="251"/>
    <x v="18"/>
    <x v="19"/>
    <s v="SINDANGLAKA 1"/>
  </r>
  <r>
    <n v="134"/>
    <s v="SD NEGERI SUKAMANTRI 2"/>
    <m/>
    <n v="20203948"/>
    <x v="3"/>
    <s v="Karangtengah"/>
    <s v="SUKAMULYA"/>
    <s v="Negeri"/>
    <n v="318"/>
    <n v="321"/>
    <n v="333"/>
    <x v="14"/>
    <x v="16"/>
    <s v="HEGARMANAH 3"/>
  </r>
  <r>
    <n v="135"/>
    <s v="SD NEGERI SUKAMANTRI 3"/>
    <m/>
    <n v="20203949"/>
    <x v="3"/>
    <s v="Karangtengah"/>
    <s v="SUKAMANTRI"/>
    <s v="Negeri"/>
    <n v="319"/>
    <n v="322"/>
    <n v="332"/>
    <x v="5"/>
    <x v="8"/>
    <s v="SUKAMANTRI 2"/>
  </r>
  <r>
    <n v="136"/>
    <s v="SD NEGERI SUKAMULYA"/>
    <m/>
    <n v="20204093"/>
    <x v="3"/>
    <s v="Karangtengah"/>
    <s v="SUKAMULYA"/>
    <s v="Negeri"/>
    <n v="212"/>
    <n v="214"/>
    <n v="224"/>
    <x v="18"/>
    <x v="19"/>
    <s v="SINDANGLAKA 1"/>
  </r>
  <r>
    <n v="137"/>
    <s v="SD NEGERI SUKASARANA"/>
    <m/>
    <n v="20204108"/>
    <x v="3"/>
    <s v="Karangtengah"/>
    <s v="SUKASARANA"/>
    <s v="Negeri"/>
    <n v="253"/>
    <n v="253"/>
    <n v="263"/>
    <x v="14"/>
    <x v="16"/>
    <s v="HEGARMANAH 3"/>
  </r>
  <r>
    <n v="138"/>
    <s v="SD NEGERI SUKASARI 1"/>
    <m/>
    <n v="20204116"/>
    <x v="3"/>
    <s v="Karangtengah"/>
    <s v="SUKASARI"/>
    <s v="Negeri"/>
    <n v="159"/>
    <n v="159"/>
    <n v="159"/>
    <x v="23"/>
    <x v="23"/>
    <s v="SUKASARI"/>
  </r>
  <r>
    <n v="139"/>
    <s v="SD NEGERI SUKASARI 2"/>
    <m/>
    <n v="20204117"/>
    <x v="3"/>
    <s v="Karangtengah"/>
    <s v="SUKASARI"/>
    <s v="Negeri"/>
    <n v="195"/>
    <n v="195"/>
    <n v="195"/>
    <x v="23"/>
    <x v="23"/>
    <s v="SINDANGASIH"/>
  </r>
  <r>
    <n v="140"/>
    <s v="SD NEGERI SUKASARI 3"/>
    <m/>
    <n v="20204132"/>
    <x v="3"/>
    <s v="Karangtengah"/>
    <s v="SUKASARI"/>
    <s v="Negeri"/>
    <n v="409"/>
    <n v="413"/>
    <n v="413"/>
    <x v="23"/>
    <x v="23"/>
    <s v="SINDANGASIH"/>
  </r>
  <r>
    <n v="141"/>
    <s v="SD NEGERI SUKASARI 4"/>
    <m/>
    <n v="20204077"/>
    <x v="3"/>
    <s v="Karangtengah"/>
    <s v="SUKASARI"/>
    <s v="Negeri"/>
    <n v="185"/>
    <n v="183"/>
    <n v="183"/>
    <x v="23"/>
    <x v="23"/>
    <s v="SUKASARI"/>
  </r>
  <r>
    <n v="142"/>
    <s v="SD NEGERI SUKASIRNA"/>
    <m/>
    <n v="20204040"/>
    <x v="3"/>
    <s v="Karangtengah"/>
    <s v="SABANDAR"/>
    <s v="Negeri"/>
    <n v="167"/>
    <n v="168"/>
    <n v="182"/>
    <x v="4"/>
    <x v="4"/>
    <s v="BOJONG 4"/>
  </r>
  <r>
    <n v="143"/>
    <s v="SD NEGERI SUKATARIS"/>
    <m/>
    <n v="20204026"/>
    <x v="3"/>
    <s v="Karangtengah"/>
    <s v="SUKATARIS"/>
    <s v="Negeri"/>
    <n v="574"/>
    <n v="577"/>
    <n v="604"/>
    <x v="13"/>
    <x v="0"/>
    <s v="SUKATARIS"/>
  </r>
  <r>
    <n v="144"/>
    <s v="SD NEGERI TIPAR"/>
    <m/>
    <n v="20203774"/>
    <x v="3"/>
    <s v="Karangtengah"/>
    <s v="HEGARMANAH"/>
    <s v="Negeri"/>
    <n v="251"/>
    <n v="252"/>
    <n v="265"/>
    <x v="20"/>
    <x v="22"/>
    <s v="HEGARMANAH 1"/>
  </r>
  <r>
    <n v="145"/>
    <s v="SD AL QURAN DAN SAINS UMI KULTSUM RS"/>
    <m/>
    <n v="70033308"/>
    <x v="3"/>
    <s v="Karangtengah"/>
    <s v="MALEBER"/>
    <s v="Swasta"/>
    <n v="101"/>
    <n v="100"/>
    <n v="133"/>
    <x v="5"/>
    <x v="15"/>
    <s v="HEGARMANAH 2"/>
  </r>
  <r>
    <n v="146"/>
    <s v="SD AN NASHIR ISLAMIC PRIMARY SCHOOL"/>
    <m/>
    <n v="70052680"/>
    <x v="3"/>
    <s v="Karangtengah"/>
    <s v="HEGARMANAH"/>
    <s v="Swasta"/>
    <n v="67"/>
    <n v="67"/>
    <n v="67"/>
    <x v="0"/>
    <x v="6"/>
    <s v="0MENOLAK"/>
  </r>
  <r>
    <n v="147"/>
    <s v="SD AT-THOBI IYYAH"/>
    <m/>
    <n v="69978770"/>
    <x v="3"/>
    <s v="Karangtengah"/>
    <s v="SUKAMANTRI"/>
    <s v="Swasta"/>
    <n v="70"/>
    <n v="84"/>
    <n v="87"/>
    <x v="5"/>
    <x v="8"/>
    <s v="SUKAMANTRI"/>
  </r>
  <r>
    <n v="148"/>
    <s v="SD BUNGA PERSADA"/>
    <m/>
    <n v="70000174"/>
    <x v="3"/>
    <s v="Karangtengah"/>
    <s v="SUKAMULYA"/>
    <s v="Swasta"/>
    <n v="164"/>
    <n v="168"/>
    <n v="186"/>
    <x v="9"/>
    <x v="11"/>
    <s v="SINDANGLAKA 2"/>
  </r>
  <r>
    <n v="149"/>
    <s v="SD GLOBAL ISLAMIC SCHOOL AL-MOCHTAR"/>
    <m/>
    <n v="70000064"/>
    <x v="3"/>
    <s v="Karangtengah"/>
    <s v="BOJONG"/>
    <s v="Swasta"/>
    <n v="164"/>
    <n v="218"/>
    <n v="189"/>
    <x v="2"/>
    <x v="2"/>
    <s v="BOJONG 1"/>
  </r>
  <r>
    <n v="150"/>
    <s v="SD INNOVATIVE SCHOOL CIANJUR"/>
    <m/>
    <n v="70004357"/>
    <x v="3"/>
    <s v="Karangtengah"/>
    <s v="MALEBER"/>
    <s v="Swasta"/>
    <n v="148"/>
    <n v="153"/>
    <n v="171"/>
    <x v="21"/>
    <x v="1"/>
    <s v="MALEBER"/>
  </r>
  <r>
    <n v="151"/>
    <s v="SD ISLAM BAITUL IHSAN"/>
    <m/>
    <n v="70046381"/>
    <x v="3"/>
    <s v="Karangtengah"/>
    <s v="SABANDAR"/>
    <s v="Swasta"/>
    <n v="57"/>
    <n v="58"/>
    <n v="69"/>
    <x v="14"/>
    <x v="16"/>
    <s v="HEGARMANAH 3"/>
  </r>
  <r>
    <n v="152"/>
    <s v="SD ISLAM CENDEKIA CIANJUR"/>
    <m/>
    <n v="70034501"/>
    <x v="3"/>
    <s v="Karangtengah"/>
    <s v="SINDANGLAKA"/>
    <s v="Swasta"/>
    <n v="304"/>
    <n v="304"/>
    <n v="304"/>
    <x v="3"/>
    <x v="3"/>
    <s v="0DITANGGUHKAN"/>
  </r>
  <r>
    <n v="153"/>
    <s v="SD IT AL-MUMTAAZ"/>
    <m/>
    <n v="70031171"/>
    <x v="3"/>
    <s v="Karangtengah"/>
    <s v="SUKASARANA"/>
    <s v="Swasta"/>
    <n v="54"/>
    <n v="62"/>
    <n v="69"/>
    <x v="10"/>
    <x v="12"/>
    <s v="CIHERANG 1"/>
  </r>
  <r>
    <n v="154"/>
    <s v="SDS KARAKTER AL-ADZKIYA"/>
    <m/>
    <n v="60726619"/>
    <x v="3"/>
    <s v="Karangtengah"/>
    <s v="SINDANGLAKA"/>
    <s v="Swasta"/>
    <n v="252"/>
    <n v="252"/>
    <n v="267"/>
    <x v="18"/>
    <x v="19"/>
    <s v="SINDANGLAKA 1"/>
  </r>
  <r>
    <n v="155"/>
    <s v="SMP NEGERI 1 KARANGTENGAH"/>
    <m/>
    <n v="20203896"/>
    <x v="4"/>
    <s v="Karangtengah"/>
    <s v="HEGARMANAH"/>
    <s v="Negeri"/>
    <n v="1347"/>
    <n v="1399"/>
    <n v="1402"/>
    <x v="5"/>
    <x v="8"/>
    <s v="SUKAMANTRI"/>
  </r>
  <r>
    <n v="156"/>
    <s v="SMP NEGERI 2 KARANGTENGAH"/>
    <m/>
    <n v="20203809"/>
    <x v="4"/>
    <s v="Karangtengah"/>
    <s v="SUKATARIS"/>
    <s v="Negeri"/>
    <n v="1322"/>
    <n v="1326"/>
    <n v="1390"/>
    <x v="17"/>
    <x v="18"/>
    <s v="SINDANGLAKA 3"/>
  </r>
  <r>
    <n v="157"/>
    <s v="SMP NEGERI 3 KARANGTENGAH"/>
    <n v="5"/>
    <n v="20203843"/>
    <x v="4"/>
    <s v="Karangtengah"/>
    <s v="SUKASARI"/>
    <s v="Negeri"/>
    <n v="963"/>
    <n v="973"/>
    <n v="1011"/>
    <x v="11"/>
    <x v="20"/>
    <s v="SUKASARI"/>
  </r>
  <r>
    <n v="158"/>
    <s v="SMP NEGERI 4 KARANGTENGAH"/>
    <m/>
    <n v="20253851"/>
    <x v="4"/>
    <s v="Karangtengah"/>
    <s v="CIHERANG"/>
    <s v="Negeri"/>
    <n v="204"/>
    <n v="206"/>
    <n v="206"/>
    <x v="16"/>
    <x v="12"/>
    <s v="SUKAMANTRI 2"/>
  </r>
  <r>
    <n v="159"/>
    <s v="SMP AL-MAMOEN"/>
    <m/>
    <n v="69820508"/>
    <x v="4"/>
    <s v="Karangtengah"/>
    <s v="SABANDAR"/>
    <s v="Swasta"/>
    <n v="537"/>
    <n v="542"/>
    <n v="579"/>
    <x v="7"/>
    <x v="9"/>
    <s v="SINDANGLAKA 4"/>
  </r>
  <r>
    <n v="160"/>
    <s v="SMP BAITUL ULUM BOARDING SCHOOL"/>
    <m/>
    <n v="70036767"/>
    <x v="4"/>
    <s v="Karangtengah"/>
    <s v="BOJONG"/>
    <s v="Swasta"/>
    <n v="80"/>
    <n v="83"/>
    <n v="90"/>
    <x v="20"/>
    <x v="2"/>
    <s v="BOJONG 1"/>
  </r>
  <r>
    <n v="161"/>
    <s v="SMP BUNGA PERSADA CIANJUR"/>
    <m/>
    <n v="70032325"/>
    <x v="4"/>
    <s v="Karangtengah"/>
    <s v="BOJONG"/>
    <s v="Swasta"/>
    <n v="30"/>
    <n v="32"/>
    <n v="48"/>
    <x v="9"/>
    <x v="11"/>
    <s v="SINDANGLAKA 2"/>
  </r>
  <r>
    <n v="162"/>
    <s v="SMP FANSAFATTAH RAHMANIYAH"/>
    <m/>
    <n v="70046116"/>
    <x v="4"/>
    <s v="Karangtengah"/>
    <s v="SABANDAR"/>
    <s v="Swasta"/>
    <n v="78"/>
    <n v="78"/>
    <n v="94"/>
    <x v="4"/>
    <x v="4"/>
    <s v="BOJONG 4"/>
  </r>
  <r>
    <n v="163"/>
    <s v="SMP I ISLAMIYAH KOPO KARANGTENGAH"/>
    <m/>
    <n v="60733399"/>
    <x v="4"/>
    <s v="Karangtengah"/>
    <s v="SUKAMANAH"/>
    <s v="Swasta"/>
    <n v="48"/>
    <n v="51"/>
    <n v="58"/>
    <x v="21"/>
    <x v="15"/>
    <s v="HEGARMANAH 2"/>
  </r>
  <r>
    <n v="164"/>
    <s v="SMP INNOVATIVE SCHOOL CIANJUR"/>
    <m/>
    <n v="70004356"/>
    <x v="4"/>
    <s v="Karangtengah"/>
    <s v="MALEBER"/>
    <s v="Swasta"/>
    <n v="66"/>
    <n v="67"/>
    <n v="78"/>
    <x v="21"/>
    <x v="1"/>
    <s v="MALEBER"/>
  </r>
  <r>
    <n v="165"/>
    <s v="SMP ISLAM CENDEKIA"/>
    <m/>
    <n v="60728959"/>
    <x v="4"/>
    <s v="Karangtengah"/>
    <s v="SINDANGLAKA"/>
    <s v="Swasta"/>
    <n v="258"/>
    <n v="258"/>
    <n v="258"/>
    <x v="3"/>
    <x v="3"/>
    <s v="0DITANGGUHKAN"/>
  </r>
  <r>
    <n v="166"/>
    <s v="SMP ISLAM MITRA AL KHAIDIR BOARDING SCHOOL"/>
    <m/>
    <n v="69973886"/>
    <x v="4"/>
    <s v="Karangtengah"/>
    <s v="BABAKANCARINGIN"/>
    <s v="Swasta"/>
    <n v="73"/>
    <n v="60"/>
    <n v="86"/>
    <x v="16"/>
    <x v="5"/>
    <s v="SINDANGLAKA 5"/>
  </r>
  <r>
    <n v="167"/>
    <s v="SMP ISLAM NURUL HIKMAH"/>
    <m/>
    <n v="70050026"/>
    <x v="4"/>
    <s v="Karangtengah"/>
    <s v="SUKASARANA"/>
    <s v="Swasta"/>
    <n v="47"/>
    <n v="49"/>
    <n v="52"/>
    <x v="5"/>
    <x v="8"/>
    <s v="SUKAMANTRI"/>
  </r>
  <r>
    <n v="168"/>
    <s v="SMP ISLAM QUBA"/>
    <m/>
    <n v="70041233"/>
    <x v="4"/>
    <s v="Karangtengah"/>
    <s v="CIHERANG"/>
    <s v="Swasta"/>
    <n v="23"/>
    <n v="27"/>
    <n v="37"/>
    <x v="10"/>
    <x v="12"/>
    <s v="CIHERANG 1"/>
  </r>
  <r>
    <n v="169"/>
    <s v="SMP ISLAM SULAIMANIYYAH"/>
    <m/>
    <n v="69933277"/>
    <x v="4"/>
    <s v="Karangtengah"/>
    <s v="SUKASARI"/>
    <s v="Swasta"/>
    <n v="88"/>
    <n v="65"/>
    <n v="73"/>
    <x v="12"/>
    <x v="23"/>
    <s v="SUKASARI"/>
  </r>
  <r>
    <n v="170"/>
    <s v="SMP IT DAAR EL MUMTAAZ"/>
    <m/>
    <n v="69932393"/>
    <x v="4"/>
    <s v="Karangtengah"/>
    <s v="SUKASARANA"/>
    <s v="Swasta"/>
    <n v="124"/>
    <n v="151"/>
    <n v="163"/>
    <x v="10"/>
    <x v="12"/>
    <s v="CIHERANG 1"/>
  </r>
  <r>
    <n v="171"/>
    <s v="SMP IT DAARUL MUTTAQIN"/>
    <m/>
    <n v="70004220"/>
    <x v="4"/>
    <s v="Karangtengah"/>
    <s v="MALEBER"/>
    <s v="Swasta"/>
    <n v="544"/>
    <n v="554"/>
    <n v="575"/>
    <x v="1"/>
    <x v="1"/>
    <s v="MALEBER"/>
  </r>
  <r>
    <n v="172"/>
    <s v="SMP IT DAARUTTAQWA ASYAMSURIYYAH"/>
    <m/>
    <n v="70001153"/>
    <x v="4"/>
    <s v="Karangtengah"/>
    <s v="SABANDAR"/>
    <s v="Swasta"/>
    <n v="158"/>
    <n v="160"/>
    <n v="174"/>
    <x v="4"/>
    <x v="4"/>
    <s v="BOJONG 4"/>
  </r>
  <r>
    <n v="173"/>
    <s v="SMP IT IZZUL ISLAM"/>
    <m/>
    <n v="60725320"/>
    <x v="4"/>
    <s v="Karangtengah"/>
    <s v="SUKAMANAH"/>
    <s v="Swasta"/>
    <n v="152"/>
    <n v="281"/>
    <n v="170"/>
    <x v="7"/>
    <x v="13"/>
    <s v="SINDANGASIH 2"/>
  </r>
  <r>
    <n v="174"/>
    <s v="SMP IT MANDIRI BERSEMI"/>
    <m/>
    <n v="60729091"/>
    <x v="4"/>
    <s v="Karangtengah"/>
    <s v="BOJONG"/>
    <s v="Swasta"/>
    <n v="273"/>
    <n v="273"/>
    <n v="288"/>
    <x v="2"/>
    <x v="2"/>
    <s v="BOJONG 1"/>
  </r>
  <r>
    <n v="175"/>
    <s v="SMP IT NAJMULQURA"/>
    <m/>
    <n v="70041235"/>
    <x v="4"/>
    <s v="Karangtengah"/>
    <s v="BOJONG"/>
    <s v="Swasta"/>
    <n v="100"/>
    <n v="110"/>
    <n v="110"/>
    <x v="2"/>
    <x v="2"/>
    <s v="BOJONG 1"/>
  </r>
  <r>
    <n v="176"/>
    <s v="SMP IT SYAMSUL HUDA"/>
    <m/>
    <n v="70035672"/>
    <x v="4"/>
    <s v="Karangtengah"/>
    <s v="BOJONG"/>
    <s v="Swasta"/>
    <n v="84"/>
    <n v="84"/>
    <n v="84"/>
    <x v="24"/>
    <x v="18"/>
    <s v="SINDANGLAKA 3"/>
  </r>
  <r>
    <n v="177"/>
    <s v="SMP PGRI KARANGTENGAH"/>
    <m/>
    <n v="60733400"/>
    <x v="4"/>
    <s v="Karangtengah"/>
    <s v="MALEBER"/>
    <s v="Swasta"/>
    <n v="88"/>
    <n v="88"/>
    <n v="100"/>
    <x v="1"/>
    <x v="1"/>
    <s v="MALEBER"/>
  </r>
  <r>
    <n v="178"/>
    <s v="SMP PLUS AT-TANWIIR"/>
    <m/>
    <n v="70034530"/>
    <x v="4"/>
    <s v="Karangtengah"/>
    <s v="MALEBER"/>
    <s v="Swasta"/>
    <n v="51"/>
    <m/>
    <m/>
    <x v="19"/>
    <x v="21"/>
    <m/>
  </r>
  <r>
    <n v="179"/>
    <s v="SMP PLUS GENQU CIANJUR"/>
    <m/>
    <n v="70036789"/>
    <x v="4"/>
    <s v="Karangtengah"/>
    <s v="MALEBER"/>
    <s v="Swasta"/>
    <n v="63"/>
    <m/>
    <m/>
    <x v="19"/>
    <x v="21"/>
    <m/>
  </r>
  <r>
    <n v="180"/>
    <s v="SMP PLUS AL-ITTIHAD"/>
    <m/>
    <n v="20203880"/>
    <x v="4"/>
    <s v="Karangtengah"/>
    <s v="BOJONG"/>
    <s v="Swasta"/>
    <n v="1049"/>
    <n v="1051"/>
    <n v="1063"/>
    <x v="15"/>
    <x v="17"/>
    <s v="BOJONG 2"/>
  </r>
  <r>
    <n v="181"/>
    <s v="SMP TAHFIDZ AL-MUCHTARIAH"/>
    <m/>
    <n v="69984093"/>
    <x v="4"/>
    <s v="Karangtengah"/>
    <s v="CIHERANG"/>
    <s v="Swasta"/>
    <n v="44"/>
    <n v="30"/>
    <n v="45"/>
    <x v="10"/>
    <x v="12"/>
    <s v="CIHERANG 1"/>
  </r>
  <r>
    <n v="182"/>
    <s v="SMPS ISLAM TERPADU AL-MADINAH"/>
    <m/>
    <n v="69820103"/>
    <x v="4"/>
    <s v="Karangtengah"/>
    <s v="CIHERANG"/>
    <s v="Swasta"/>
    <n v="237"/>
    <n v="243"/>
    <n v="259"/>
    <x v="10"/>
    <x v="12"/>
    <s v="CIHERANG 1"/>
  </r>
  <r>
    <n v="183"/>
    <s v="SMPS IT AL-AMIN"/>
    <m/>
    <n v="69786496"/>
    <x v="4"/>
    <s v="Karangtengah"/>
    <s v="SINDANGLAKA"/>
    <s v="Swasta"/>
    <n v="97"/>
    <n v="100"/>
    <n v="115"/>
    <x v="17"/>
    <x v="18"/>
    <s v="SINDANGLAKA 3"/>
  </r>
  <r>
    <n v="184"/>
    <s v="SMAN 1 KARANG TENGAH"/>
    <m/>
    <n v="69964390"/>
    <x v="5"/>
    <s v="Karangtengah"/>
    <s v="SUKASARANA"/>
    <s v="Negeri"/>
    <n v="494"/>
    <n v="493"/>
    <n v="536"/>
    <x v="20"/>
    <x v="22"/>
    <s v="HEGARMANAH 1"/>
  </r>
  <r>
    <n v="185"/>
    <s v="SMA AL MA MOEN"/>
    <m/>
    <n v="69929051"/>
    <x v="5"/>
    <s v="Karangtengah"/>
    <s v="SABANDAR"/>
    <s v="Swasta"/>
    <n v="157"/>
    <n v="137"/>
    <n v="159"/>
    <x v="7"/>
    <x v="9"/>
    <s v="SINDANGLAKA 4"/>
  </r>
  <r>
    <n v="186"/>
    <s v="SMA AL MUMTAAZ"/>
    <m/>
    <n v="70056271"/>
    <x v="5"/>
    <s v="Karangtengah"/>
    <s v="SUKASARANA"/>
    <s v="Swasta"/>
    <n v="20"/>
    <n v="15"/>
    <n v="22"/>
    <x v="10"/>
    <x v="12"/>
    <s v="CIHERANG 1"/>
  </r>
  <r>
    <n v="187"/>
    <s v="SMA ISLAM AL-ISTIQOMAH"/>
    <m/>
    <n v="69906513"/>
    <x v="5"/>
    <s v="Karangtengah"/>
    <s v="LANGENSARI"/>
    <s v="Swasta"/>
    <n v="262"/>
    <n v="263"/>
    <n v="278"/>
    <x v="21"/>
    <x v="23"/>
    <s v="BOJONG 3"/>
  </r>
  <r>
    <n v="188"/>
    <s v="SMA ISLAM TERPADU AL-AMIN"/>
    <m/>
    <n v="70038213"/>
    <x v="5"/>
    <s v="Karangtengah"/>
    <s v="SINDANGLAKA"/>
    <s v="Swasta"/>
    <n v="149"/>
    <n v="147"/>
    <n v="162"/>
    <x v="17"/>
    <x v="18"/>
    <s v="SINDANGLAKA 3"/>
  </r>
  <r>
    <n v="189"/>
    <s v="SMA IT DAARUT TAQWA ASYAMSURIYYAH"/>
    <m/>
    <n v="70029865"/>
    <x v="5"/>
    <s v="Karangtengah"/>
    <s v="SABANDAR"/>
    <s v="Swasta"/>
    <n v="205"/>
    <n v="205"/>
    <n v="210"/>
    <x v="4"/>
    <x v="4"/>
    <s v="BOJONG 4"/>
  </r>
  <r>
    <n v="190"/>
    <s v="SMA MANARULHUDA"/>
    <m/>
    <n v="69930653"/>
    <x v="5"/>
    <s v="Karangtengah"/>
    <s v="SUKAMANAH"/>
    <s v="Swasta"/>
    <n v="96"/>
    <n v="96"/>
    <n v="114"/>
    <x v="25"/>
    <x v="13"/>
    <s v="SINDANGASIH"/>
  </r>
  <r>
    <n v="191"/>
    <s v="SMA PESANTREN UNGGUL AL BAYAN CENDEKIA"/>
    <m/>
    <n v="70039709"/>
    <x v="5"/>
    <s v="Karangtengah"/>
    <s v="SINDANGLAKA"/>
    <s v="Swasta"/>
    <n v="132"/>
    <n v="132"/>
    <n v="132"/>
    <x v="3"/>
    <x v="3"/>
    <s v="0DITANGGUHKAN"/>
  </r>
  <r>
    <n v="192"/>
    <s v="SMAS AL ITTIHAD CIANJUR"/>
    <m/>
    <n v="20252046"/>
    <x v="5"/>
    <s v="Karangtengah"/>
    <s v="BOJONG"/>
    <s v="Swasta"/>
    <n v="505"/>
    <n v="504"/>
    <n v="525"/>
    <x v="15"/>
    <x v="17"/>
    <s v="BOJONG 2"/>
  </r>
  <r>
    <n v="193"/>
    <s v="SMAS PASUNDAN 1 CIANJUR"/>
    <m/>
    <n v="20252051"/>
    <x v="5"/>
    <s v="Karangtengah"/>
    <s v="SABANDAR"/>
    <s v="Swasta"/>
    <n v="381"/>
    <n v="387"/>
    <n v="423"/>
    <x v="13"/>
    <x v="0"/>
    <s v="SUKATARIS"/>
  </r>
  <r>
    <n v="194"/>
    <s v="SMK NEGERI 1 KARANGTENGAH"/>
    <m/>
    <n v="20252207"/>
    <x v="6"/>
    <s v="Karangtengah"/>
    <s v="SUKAJADI"/>
    <s v="Negeri"/>
    <n v="1385"/>
    <n v="1395"/>
    <n v="1480"/>
    <x v="6"/>
    <x v="7"/>
    <s v="SUKAJADI"/>
  </r>
  <r>
    <n v="195"/>
    <s v="SMK AL MADINAH MADANIA"/>
    <m/>
    <n v="69883477"/>
    <x v="6"/>
    <s v="Karangtengah"/>
    <s v="CIHERANG"/>
    <s v="Swasta"/>
    <n v="95"/>
    <n v="86"/>
    <n v="97"/>
    <x v="10"/>
    <x v="12"/>
    <s v="CIHERANG 1"/>
  </r>
  <r>
    <n v="196"/>
    <s v="SMK AL-IKHWAN"/>
    <m/>
    <n v="69922328"/>
    <x v="6"/>
    <s v="Karangtengah"/>
    <s v="SUKASARI"/>
    <s v="Swasta"/>
    <n v="101"/>
    <n v="102"/>
    <n v="112"/>
    <x v="12"/>
    <x v="20"/>
    <s v="SINDANGASIH 2"/>
  </r>
  <r>
    <n v="197"/>
    <s v="SMK AL-MUNAWWARAH"/>
    <n v="6"/>
    <n v="69904592"/>
    <x v="6"/>
    <s v="Karangtengah"/>
    <s v="BABAKANCARINGIN"/>
    <s v="Swasta"/>
    <n v="224"/>
    <n v="252"/>
    <n v="177"/>
    <x v="11"/>
    <x v="20"/>
    <s v="SINDANGASIH"/>
  </r>
  <r>
    <n v="198"/>
    <s v="SMK DARUL MUTTAQIN CIANJUR"/>
    <m/>
    <n v="69896911"/>
    <x v="6"/>
    <s v="Karangtengah"/>
    <s v="MALEBER"/>
    <s v="Swasta"/>
    <n v="400"/>
    <n v="400"/>
    <n v="437"/>
    <x v="1"/>
    <x v="1"/>
    <s v="MALEBER"/>
  </r>
  <r>
    <n v="199"/>
    <s v="SMK ISLAM TERPADU IZZUL ISLAM"/>
    <m/>
    <n v="69886280"/>
    <x v="6"/>
    <s v="Karangtengah"/>
    <s v="SUKAMANAH"/>
    <s v="Swasta"/>
    <n v="74"/>
    <n v="91"/>
    <n v="90"/>
    <x v="7"/>
    <x v="13"/>
    <s v="SINDANGASIH 2"/>
  </r>
  <r>
    <n v="200"/>
    <s v="SMK KESEHATAN BHAKTI MEDIKA CIANJUR"/>
    <m/>
    <n v="20258557"/>
    <x v="6"/>
    <s v="Karangtengah"/>
    <s v="HEGARMANAH"/>
    <s v="Swasta"/>
    <n v="72"/>
    <n v="76"/>
    <n v="111"/>
    <x v="14"/>
    <x v="16"/>
    <s v="HEGARMANAH 3"/>
  </r>
  <r>
    <n v="201"/>
    <s v="SMK MITRA INSAN"/>
    <m/>
    <n v="69914680"/>
    <x v="6"/>
    <s v="Karangtengah"/>
    <s v="SUKAMANTRI"/>
    <s v="Swasta"/>
    <n v="97"/>
    <n v="100"/>
    <n v="110"/>
    <x v="14"/>
    <x v="16"/>
    <s v="HEGARMANAH 3"/>
  </r>
  <r>
    <n v="202"/>
    <s v="SMK PERMATA INSAN"/>
    <m/>
    <n v="69840945"/>
    <x v="6"/>
    <s v="Karangtengah"/>
    <s v="MALEBER"/>
    <s v="Swasta"/>
    <n v="133"/>
    <n v="119"/>
    <n v="132"/>
    <x v="12"/>
    <x v="14"/>
    <s v="BOJONG 3"/>
  </r>
  <r>
    <n v="203"/>
    <s v="SMK PLUS INSAN ANDALAN CIANJUR"/>
    <m/>
    <n v="70041811"/>
    <x v="6"/>
    <s v="Karangtengah"/>
    <s v="BOJONG"/>
    <s v="Swasta"/>
    <n v="112"/>
    <n v="104"/>
    <n v="134"/>
    <x v="20"/>
    <x v="2"/>
    <s v="BOJONG 1"/>
  </r>
  <r>
    <n v="204"/>
    <s v="SMKS AL ITTIHAD"/>
    <m/>
    <n v="20252205"/>
    <x v="6"/>
    <s v="Karangtengah"/>
    <s v="BOJONG"/>
    <s v="Swasta"/>
    <n v="378"/>
    <n v="378"/>
    <n v="407"/>
    <x v="15"/>
    <x v="17"/>
    <s v="BOJONG 2"/>
  </r>
  <r>
    <n v="205"/>
    <s v="SMKS BINA BANGSA PERTIWI"/>
    <m/>
    <n v="69786221"/>
    <x v="6"/>
    <s v="Karangtengah"/>
    <s v="BABAKANCARINGIN"/>
    <s v="Swasta"/>
    <n v="121"/>
    <n v="125"/>
    <n v="135"/>
    <x v="21"/>
    <x v="5"/>
    <s v="SINDANGLAKA 5"/>
  </r>
  <r>
    <n v="206"/>
    <s v="SMKS BUNGA PERSADA CIANJUR"/>
    <m/>
    <n v="69755828"/>
    <x v="6"/>
    <s v="Karangtengah"/>
    <s v="SUKAMULYA"/>
    <s v="Swasta"/>
    <n v="799"/>
    <n v="796"/>
    <n v="864"/>
    <x v="9"/>
    <x v="11"/>
    <s v="SINDANGLAKA 2"/>
  </r>
  <r>
    <n v="207"/>
    <s v="SMKS MANDIRI BERSEMI"/>
    <m/>
    <n v="20256557"/>
    <x v="6"/>
    <s v="Karangtengah"/>
    <s v="BOJONG"/>
    <s v="Swasta"/>
    <n v="495"/>
    <n v="506"/>
    <n v="539"/>
    <x v="2"/>
    <x v="2"/>
    <s v="BOJONG 1"/>
  </r>
  <r>
    <n v="208"/>
    <s v="SMKS PASUNDAN 2 CIANJUR"/>
    <m/>
    <n v="20268529"/>
    <x v="6"/>
    <s v="Karangtengah"/>
    <s v="SABANDAR"/>
    <s v="Swasta"/>
    <n v="122"/>
    <n v="119"/>
    <n v="146"/>
    <x v="13"/>
    <x v="0"/>
    <s v="SUKATARIS"/>
  </r>
  <r>
    <n v="209"/>
    <s v="SMKS PASUNDAN CIANJUR"/>
    <m/>
    <n v="20203729"/>
    <x v="6"/>
    <s v="Karangtengah"/>
    <s v="SABANDAR"/>
    <s v="Swasta"/>
    <n v="1554"/>
    <n v="1556"/>
    <n v="1614"/>
    <x v="8"/>
    <x v="10"/>
    <s v="SABANDAR 2"/>
  </r>
  <r>
    <n v="210"/>
    <s v="SMKS TARUNA BHAKTI CIANJUR"/>
    <m/>
    <n v="20203803"/>
    <x v="6"/>
    <s v="Karangtengah"/>
    <s v="SINDANGLAKA"/>
    <s v="Swasta"/>
    <n v="171"/>
    <n v="124"/>
    <n v="146"/>
    <x v="18"/>
    <x v="19"/>
    <s v="SINDANGLAKA 1"/>
  </r>
  <r>
    <n v="211"/>
    <s v="PKBM AL NUR RAHMAH"/>
    <m/>
    <s v="P9998362"/>
    <x v="7"/>
    <s v="Karangtengah"/>
    <m/>
    <s v="Swasta"/>
    <n v="160"/>
    <m/>
    <m/>
    <x v="19"/>
    <x v="21"/>
    <m/>
  </r>
  <r>
    <n v="212"/>
    <s v="PKBM AL-ADZKIYA"/>
    <m/>
    <s v="P9952437"/>
    <x v="7"/>
    <s v="Karangtengah"/>
    <m/>
    <s v="Swasta"/>
    <n v="235"/>
    <m/>
    <m/>
    <x v="19"/>
    <x v="21"/>
    <m/>
  </r>
  <r>
    <n v="213"/>
    <s v="PKBM AL-APPANDI"/>
    <m/>
    <s v="P2962897"/>
    <x v="7"/>
    <s v="Karangtengah"/>
    <m/>
    <s v="Swasta"/>
    <n v="0"/>
    <m/>
    <m/>
    <x v="19"/>
    <x v="21"/>
    <m/>
  </r>
  <r>
    <n v="214"/>
    <s v="PKBM AL-FAIDAH"/>
    <m/>
    <s v="P2962917"/>
    <x v="7"/>
    <s v="Karangtengah"/>
    <m/>
    <s v="Swasta"/>
    <n v="173"/>
    <m/>
    <m/>
    <x v="19"/>
    <x v="21"/>
    <m/>
  </r>
  <r>
    <n v="215"/>
    <s v="PKBM AN-NURONIYYAH"/>
    <m/>
    <s v="P9974044"/>
    <x v="7"/>
    <s v="Karangtengah"/>
    <m/>
    <s v="Swasta"/>
    <n v="1"/>
    <m/>
    <m/>
    <x v="19"/>
    <x v="21"/>
    <m/>
  </r>
  <r>
    <n v="216"/>
    <s v="PKBM ASRI PARADISTA"/>
    <m/>
    <s v="P9984806"/>
    <x v="7"/>
    <s v="Karangtengah"/>
    <m/>
    <s v="Swasta"/>
    <n v="349"/>
    <n v="77"/>
    <n v="85"/>
    <x v="14"/>
    <x v="16"/>
    <s v="HEGARMANAH 3"/>
  </r>
  <r>
    <n v="217"/>
    <s v="PKBM ASSAADAH AL-ISLAMI"/>
    <m/>
    <s v="P9998889"/>
    <x v="7"/>
    <s v="Karangtengah"/>
    <m/>
    <s v="Swasta"/>
    <n v="271"/>
    <m/>
    <m/>
    <x v="19"/>
    <x v="21"/>
    <m/>
  </r>
  <r>
    <n v="218"/>
    <s v="PKBM BUNDA RATU"/>
    <m/>
    <s v="P9996373"/>
    <x v="7"/>
    <s v="Karangtengah"/>
    <m/>
    <s v="Swasta"/>
    <n v="0"/>
    <m/>
    <m/>
    <x v="19"/>
    <x v="21"/>
    <m/>
  </r>
  <r>
    <n v="219"/>
    <s v="PKBM CIIMBANGSARI"/>
    <m/>
    <s v="P2962918"/>
    <x v="7"/>
    <s v="Karangtengah"/>
    <m/>
    <s v="Swasta"/>
    <n v="165"/>
    <m/>
    <m/>
    <x v="19"/>
    <x v="21"/>
    <m/>
  </r>
  <r>
    <n v="220"/>
    <s v="PKBM DARUL HUDA"/>
    <m/>
    <s v="P9996875"/>
    <x v="7"/>
    <s v="Karangtengah"/>
    <m/>
    <s v="Swasta"/>
    <n v="307"/>
    <m/>
    <m/>
    <x v="19"/>
    <x v="21"/>
    <m/>
  </r>
  <r>
    <n v="221"/>
    <s v="PKBM FADELL LABIBA"/>
    <m/>
    <s v="P9998076"/>
    <x v="7"/>
    <s v="Karangtengah"/>
    <m/>
    <s v="Swasta"/>
    <n v="247"/>
    <m/>
    <m/>
    <x v="19"/>
    <x v="21"/>
    <m/>
  </r>
  <r>
    <n v="222"/>
    <s v="PKBM GENERASI ULUL ALBAB"/>
    <m/>
    <s v="P9997801"/>
    <x v="7"/>
    <s v="Karangtengah"/>
    <m/>
    <s v="Swasta"/>
    <n v="0"/>
    <m/>
    <m/>
    <x v="19"/>
    <x v="21"/>
    <m/>
  </r>
  <r>
    <n v="223"/>
    <s v="PKBM MANDIRI BERSEMI"/>
    <m/>
    <s v="P2962919"/>
    <x v="7"/>
    <s v="Karangtengah"/>
    <m/>
    <s v="Swasta"/>
    <n v="37"/>
    <m/>
    <m/>
    <x v="19"/>
    <x v="21"/>
    <m/>
  </r>
  <r>
    <n v="224"/>
    <s v="PKBM NURUL FATA"/>
    <m/>
    <s v="P9952537"/>
    <x v="7"/>
    <s v="Karangtengah"/>
    <m/>
    <s v="Swasta"/>
    <n v="354"/>
    <m/>
    <m/>
    <x v="19"/>
    <x v="21"/>
    <m/>
  </r>
  <r>
    <n v="225"/>
    <s v="PKBM SAPUTRA JAYA"/>
    <m/>
    <s v="P9998723"/>
    <x v="7"/>
    <s v="Karangtengah"/>
    <m/>
    <s v="Swasta"/>
    <n v="62"/>
    <m/>
    <m/>
    <x v="19"/>
    <x v="21"/>
    <m/>
  </r>
  <r>
    <n v="226"/>
    <s v="SLB ABC BINA BANGSA"/>
    <m/>
    <n v="20254693"/>
    <x v="8"/>
    <s v="Karangtengah"/>
    <s v="HEGARMANAH"/>
    <s v="Swasta"/>
    <n v="101"/>
    <n v="98"/>
    <n v="117"/>
    <x v="14"/>
    <x v="16"/>
    <s v="HEGARMANAH 3"/>
  </r>
  <r>
    <n v="227"/>
    <s v="RA AISYIYAH II"/>
    <m/>
    <n v="101232030079"/>
    <x v="9"/>
    <s v="Karangtengah"/>
    <s v="LANGENSARI"/>
    <s v="Swasta"/>
    <n v="18"/>
    <m/>
    <m/>
    <x v="19"/>
    <x v="0"/>
    <s v="SUKATARIS"/>
  </r>
  <r>
    <n v="228"/>
    <s v="RA AL-HIDAYAH"/>
    <m/>
    <n v="101232030080"/>
    <x v="9"/>
    <s v="Karangtengah"/>
    <m/>
    <s v="Swasta"/>
    <n v="40"/>
    <n v="40"/>
    <n v="40"/>
    <x v="19"/>
    <x v="16"/>
    <s v="HEGARMANAH 3"/>
  </r>
  <r>
    <n v="229"/>
    <s v="RA AL-ITTIHAD"/>
    <m/>
    <n v="101232030081"/>
    <x v="9"/>
    <s v="Karangtengah"/>
    <m/>
    <s v="Swasta"/>
    <n v="20"/>
    <n v="32"/>
    <n v="36"/>
    <x v="15"/>
    <x v="17"/>
    <s v="BOJONG 2"/>
  </r>
  <r>
    <n v="230"/>
    <s v="RA AL-KHODIJAH AMA WAAS"/>
    <m/>
    <n v="101232030082"/>
    <x v="9"/>
    <s v="Karangtengah"/>
    <m/>
    <s v="Swasta"/>
    <n v="34"/>
    <n v="41"/>
    <n v="49"/>
    <x v="4"/>
    <x v="4"/>
    <s v="BOJONG 4"/>
  </r>
  <r>
    <n v="231"/>
    <s v="RA AL-MUHAJIRIN"/>
    <m/>
    <n v="101232030083"/>
    <x v="9"/>
    <s v="Karangtengah"/>
    <m/>
    <s v="Swasta"/>
    <n v="20"/>
    <n v="27"/>
    <n v="32"/>
    <x v="2"/>
    <x v="2"/>
    <s v="BOJONG 1"/>
  </r>
  <r>
    <n v="232"/>
    <s v="RA AL-MUNAWWARAH"/>
    <n v="6"/>
    <n v="101232030084"/>
    <x v="9"/>
    <s v="Karangtengah"/>
    <m/>
    <s v="Swasta"/>
    <n v="52"/>
    <n v="48"/>
    <n v="55"/>
    <x v="11"/>
    <x v="20"/>
    <s v="SINDANGASIH"/>
  </r>
  <r>
    <n v="233"/>
    <s v="RA AMARA"/>
    <m/>
    <n v="101232030085"/>
    <x v="9"/>
    <s v="Karangtengah"/>
    <m/>
    <s v="Swasta"/>
    <n v="30"/>
    <n v="34"/>
    <n v="40"/>
    <x v="8"/>
    <x v="10"/>
    <s v="SABANDAR 2"/>
  </r>
  <r>
    <n v="234"/>
    <s v="RA AR-ROHMAN"/>
    <m/>
    <n v="101232030086"/>
    <x v="9"/>
    <s v="Karangtengah"/>
    <m/>
    <s v="Swasta"/>
    <n v="68"/>
    <n v="62"/>
    <n v="62"/>
    <x v="16"/>
    <x v="5"/>
    <s v="CIHERANG 2"/>
  </r>
  <r>
    <n v="235"/>
    <s v="RA AS-SAKINAH"/>
    <m/>
    <n v="101232030087"/>
    <x v="9"/>
    <s v="Karangtengah"/>
    <m/>
    <s v="Swasta"/>
    <n v="30"/>
    <n v="17"/>
    <n v="20"/>
    <x v="4"/>
    <x v="9"/>
    <s v="SINDANGLAKA 4"/>
  </r>
  <r>
    <n v="236"/>
    <s v="RA AT-TAQWA"/>
    <m/>
    <n v="101232030088"/>
    <x v="9"/>
    <s v="Karangtengah"/>
    <m/>
    <s v="Swasta"/>
    <n v="26"/>
    <n v="17"/>
    <n v="20"/>
    <x v="5"/>
    <x v="8"/>
    <s v="SUKAMANTRI 2"/>
  </r>
  <r>
    <n v="237"/>
    <s v="RA BINA INSANI"/>
    <m/>
    <n v="101232030089"/>
    <x v="9"/>
    <s v="Karangtengah"/>
    <m/>
    <s v="Swasta"/>
    <n v="41"/>
    <n v="48"/>
    <n v="54"/>
    <x v="14"/>
    <x v="16"/>
    <s v="HEGARMANAH 3"/>
  </r>
  <r>
    <n v="238"/>
    <s v="RA DARURROHMAN"/>
    <m/>
    <n v="101232030090"/>
    <x v="9"/>
    <s v="Karangtengah"/>
    <m/>
    <s v="Swasta"/>
    <n v="17"/>
    <n v="17"/>
    <n v="17"/>
    <x v="19"/>
    <x v="2"/>
    <m/>
  </r>
  <r>
    <n v="239"/>
    <s v="RA AL-ISTIQOMAH"/>
    <m/>
    <n v="101232030091"/>
    <x v="9"/>
    <s v="Karangtengah"/>
    <m/>
    <s v="Swasta"/>
    <n v="56"/>
    <n v="59"/>
    <n v="65"/>
    <x v="21"/>
    <x v="23"/>
    <s v="BOJONG 3"/>
  </r>
  <r>
    <n v="240"/>
    <s v="RA NURANI ANAK BANGSA"/>
    <m/>
    <n v="101232030092"/>
    <x v="9"/>
    <s v="Karangtengah"/>
    <m/>
    <s v="Swasta"/>
    <n v="42"/>
    <n v="29"/>
    <n v="37"/>
    <x v="5"/>
    <x v="15"/>
    <s v="HEGARMANAH 2"/>
  </r>
  <r>
    <n v="241"/>
    <s v="RA NURUL IMAN"/>
    <m/>
    <n v="101232030093"/>
    <x v="9"/>
    <s v="Karangtengah"/>
    <m/>
    <s v="Swasta"/>
    <n v="33"/>
    <n v="35"/>
    <n v="38"/>
    <x v="4"/>
    <x v="9"/>
    <s v="SINDANGLAKA 4"/>
  </r>
  <r>
    <n v="242"/>
    <s v="RA PERWANIDA"/>
    <m/>
    <n v="101232030094"/>
    <x v="9"/>
    <s v="Karangtengah"/>
    <m/>
    <s v="Swasta"/>
    <n v="36"/>
    <n v="38"/>
    <n v="42"/>
    <x v="2"/>
    <x v="2"/>
    <s v="BOJONG 1"/>
  </r>
  <r>
    <n v="243"/>
    <s v="RA RIYADUSSHALIHIN"/>
    <m/>
    <n v="101232030095"/>
    <x v="9"/>
    <s v="Karangtengah"/>
    <m/>
    <s v="Swasta"/>
    <n v="77"/>
    <n v="51"/>
    <n v="61"/>
    <x v="21"/>
    <x v="15"/>
    <s v="HEGARMANAH 2"/>
  </r>
  <r>
    <n v="244"/>
    <s v="RA SEJAHTERA MANARUL HUDA"/>
    <m/>
    <n v="101232030096"/>
    <x v="9"/>
    <s v="Karangtengah"/>
    <m/>
    <s v="Swasta"/>
    <n v="47"/>
    <n v="47"/>
    <n v="51"/>
    <x v="25"/>
    <x v="13"/>
    <s v="SUKAMANAH"/>
  </r>
  <r>
    <n v="245"/>
    <s v="RA SUKATARIS"/>
    <m/>
    <n v="101232030097"/>
    <x v="9"/>
    <s v="Karangtengah"/>
    <m/>
    <s v="Swasta"/>
    <n v="50"/>
    <n v="57"/>
    <n v="63"/>
    <x v="13"/>
    <x v="0"/>
    <s v="SUKATARIS"/>
  </r>
  <r>
    <n v="246"/>
    <s v="RA TANWIRIYYAH"/>
    <m/>
    <n v="101232030098"/>
    <x v="9"/>
    <s v="Karangtengah"/>
    <m/>
    <s v="Swasta"/>
    <n v="81"/>
    <n v="78"/>
    <n v="90"/>
    <x v="9"/>
    <x v="11"/>
    <s v="SINDANGLAKA 2"/>
  </r>
  <r>
    <n v="247"/>
    <s v="RA AL-MUMTAZ"/>
    <m/>
    <n v="101232030129"/>
    <x v="9"/>
    <s v="Karangtengah"/>
    <m/>
    <s v="Swasta"/>
    <n v="17"/>
    <n v="17"/>
    <n v="21"/>
    <x v="17"/>
    <x v="0"/>
    <s v="SUKATARIS"/>
  </r>
  <r>
    <n v="248"/>
    <s v="RA INSAN AMANAH"/>
    <m/>
    <n v="101232030130"/>
    <x v="9"/>
    <s v="Karangtengah"/>
    <m/>
    <s v="Swasta"/>
    <n v="62"/>
    <n v="65"/>
    <n v="71"/>
    <x v="17"/>
    <x v="18"/>
    <s v="SINDANGLAKA 3"/>
  </r>
  <r>
    <n v="249"/>
    <s v="RA RAUDLATUL IRFAN"/>
    <m/>
    <n v="101232030136"/>
    <x v="9"/>
    <s v="Karangtengah"/>
    <m/>
    <s v="Swasta"/>
    <n v="55"/>
    <n v="44"/>
    <n v="51"/>
    <x v="21"/>
    <x v="5"/>
    <s v="SINDANGLAKA 5"/>
  </r>
  <r>
    <n v="250"/>
    <s v="RA YAPISNA"/>
    <m/>
    <n v="101232030138"/>
    <x v="9"/>
    <s v="Karangtengah"/>
    <m/>
    <s v="Swasta"/>
    <n v="24"/>
    <n v="35"/>
    <n v="40"/>
    <x v="21"/>
    <x v="9"/>
    <s v="SINDANGLAKA 4"/>
  </r>
  <r>
    <n v="251"/>
    <s v="RA AL-ADZKIYA 01"/>
    <m/>
    <n v="101232030139"/>
    <x v="9"/>
    <s v="Karangtengah"/>
    <m/>
    <m/>
    <n v="81"/>
    <n v="74"/>
    <n v="83"/>
    <x v="18"/>
    <x v="19"/>
    <s v="SINDANGLAKA 1"/>
  </r>
  <r>
    <n v="252"/>
    <s v="RA ASSASUL ISLAM"/>
    <m/>
    <n v="101232030149"/>
    <x v="9"/>
    <s v="Karangtengah"/>
    <m/>
    <s v="Swasta"/>
    <n v="14"/>
    <n v="15"/>
    <n v="17"/>
    <x v="10"/>
    <x v="12"/>
    <s v="CIHERANG 1"/>
  </r>
  <r>
    <n v="253"/>
    <s v="RA AL-IKHWAN"/>
    <m/>
    <n v="101232030156"/>
    <x v="9"/>
    <s v="Karangtengah"/>
    <m/>
    <s v="Swasta"/>
    <n v="33"/>
    <n v="33"/>
    <n v="38"/>
    <x v="12"/>
    <x v="20"/>
    <s v="SINDANGASIH 2"/>
  </r>
  <r>
    <n v="254"/>
    <s v="RA MIFTAHUL HUDA AL-FURQON"/>
    <m/>
    <n v="101232030163"/>
    <x v="9"/>
    <s v="Karangtengah"/>
    <m/>
    <s v="Swasta"/>
    <n v="51"/>
    <n v="52"/>
    <n v="58"/>
    <x v="4"/>
    <x v="9"/>
    <s v="BOJONG 4"/>
  </r>
  <r>
    <n v="255"/>
    <s v="RA HAUNA"/>
    <m/>
    <n v="101232030166"/>
    <x v="9"/>
    <s v="Karangtengah"/>
    <m/>
    <s v="Swasta"/>
    <n v="81"/>
    <n v="81"/>
    <n v="96"/>
    <x v="14"/>
    <x v="16"/>
    <s v="HEGARMANAH 3"/>
  </r>
  <r>
    <n v="256"/>
    <s v="RA MANARUL ABROR"/>
    <m/>
    <n v="101232030176"/>
    <x v="9"/>
    <s v="Karangtengah"/>
    <m/>
    <s v="Swasta"/>
    <n v="25"/>
    <n v="31"/>
    <n v="36"/>
    <x v="4"/>
    <x v="9"/>
    <s v="SINDANGLAKA 4"/>
  </r>
  <r>
    <n v="257"/>
    <s v="RA NURUL IKHLAS"/>
    <m/>
    <n v="101232030203"/>
    <x v="9"/>
    <s v="Karangtengah"/>
    <m/>
    <s v="Swasta"/>
    <n v="42"/>
    <n v="34"/>
    <n v="40"/>
    <x v="11"/>
    <x v="4"/>
    <s v="BOJONG 4"/>
  </r>
  <r>
    <n v="258"/>
    <s v="RA AL MUFTI"/>
    <m/>
    <n v="101232030204"/>
    <x v="9"/>
    <s v="Karangtengah"/>
    <m/>
    <s v="Swasta"/>
    <n v="45"/>
    <n v="46"/>
    <n v="52"/>
    <x v="2"/>
    <x v="2"/>
    <s v="BOJONG 1"/>
  </r>
  <r>
    <n v="259"/>
    <s v="MIN 1 CIANJUR"/>
    <n v="1"/>
    <n v="111132030001"/>
    <x v="10"/>
    <s v="Karangtengah"/>
    <m/>
    <s v="Swasta"/>
    <n v="784"/>
    <n v="17"/>
    <n v="840"/>
    <x v="12"/>
    <x v="14"/>
    <s v="BOJONG 5"/>
  </r>
  <r>
    <n v="260"/>
    <s v="MIS AL-KHOERIYYAH"/>
    <m/>
    <n v="111232030136"/>
    <x v="11"/>
    <s v="Karangtengah"/>
    <m/>
    <s v="Swasta"/>
    <n v="320"/>
    <n v="314"/>
    <n v="316"/>
    <x v="13"/>
    <x v="0"/>
    <s v="SUKATARIS"/>
  </r>
  <r>
    <n v="261"/>
    <s v="MIS AL-MUNAWWARAH"/>
    <n v="6"/>
    <n v="111232030137"/>
    <x v="11"/>
    <s v="Karangtengah"/>
    <m/>
    <s v="Swasta"/>
    <n v="213"/>
    <n v="236"/>
    <n v="250"/>
    <x v="11"/>
    <x v="20"/>
    <s v="SINDANGASIH"/>
  </r>
  <r>
    <n v="262"/>
    <s v="MIS ASSAADAH"/>
    <m/>
    <n v="111232030138"/>
    <x v="11"/>
    <s v="Karangtengah"/>
    <m/>
    <s v="Swasta"/>
    <n v="362"/>
    <n v="378"/>
    <n v="395"/>
    <x v="7"/>
    <x v="9"/>
    <s v="SINDANGLAKA 4"/>
  </r>
  <r>
    <n v="263"/>
    <s v="MIS ASSASUL ISLAM"/>
    <m/>
    <n v="111232030139"/>
    <x v="11"/>
    <s v="Karangtengah"/>
    <m/>
    <s v="Swasta"/>
    <n v="152"/>
    <n v="146"/>
    <n v="157"/>
    <x v="10"/>
    <x v="12"/>
    <s v="CIHERANG 1"/>
  </r>
  <r>
    <n v="264"/>
    <s v="MIS ATS-TSUUR"/>
    <m/>
    <n v="111232030140"/>
    <x v="11"/>
    <s v="Karangtengah"/>
    <m/>
    <s v="Swasta"/>
    <n v="175"/>
    <n v="191"/>
    <n v="202"/>
    <x v="21"/>
    <x v="15"/>
    <s v="HEGARMANAH 2"/>
  </r>
  <r>
    <n v="265"/>
    <s v="MIS AT-TANBIH"/>
    <m/>
    <n v="111232030141"/>
    <x v="11"/>
    <s v="Karangtengah"/>
    <m/>
    <s v="Swasta"/>
    <n v="186"/>
    <n v="184"/>
    <n v="195"/>
    <x v="4"/>
    <x v="9"/>
    <s v="SINDANGLAKA 4"/>
  </r>
  <r>
    <n v="266"/>
    <s v="MIS ISLAMIYAH KOPO"/>
    <m/>
    <n v="111232030142"/>
    <x v="11"/>
    <s v="Karangtengah"/>
    <m/>
    <s v="Swasta"/>
    <n v="100"/>
    <n v="113"/>
    <n v="123"/>
    <x v="21"/>
    <x v="15"/>
    <s v="HEGARMANAH 2"/>
  </r>
  <r>
    <n v="267"/>
    <s v="MIS MANARUL HUDA"/>
    <m/>
    <n v="111232030143"/>
    <x v="11"/>
    <s v="Karangtengah"/>
    <m/>
    <s v="Swasta"/>
    <n v="483"/>
    <n v="483"/>
    <n v="516"/>
    <x v="25"/>
    <x v="13"/>
    <s v="SUKAMANAH"/>
  </r>
  <r>
    <n v="268"/>
    <s v="MIS RAUDLATUL IRFAN"/>
    <m/>
    <n v="111232030144"/>
    <x v="11"/>
    <s v="Karangtengah"/>
    <m/>
    <s v="Swasta"/>
    <n v="202"/>
    <n v="200"/>
    <n v="211"/>
    <x v="21"/>
    <x v="5"/>
    <s v="SINDANGLAKA 5"/>
  </r>
  <r>
    <n v="269"/>
    <s v="MIS RAUDLATUSSIBYAN"/>
    <n v="2"/>
    <n v="111232030145"/>
    <x v="11"/>
    <s v="Karangtengah"/>
    <m/>
    <s v="Swasta"/>
    <n v="101"/>
    <n v="100"/>
    <n v="109"/>
    <x v="12"/>
    <x v="20"/>
    <s v="SINDANGASIH"/>
  </r>
  <r>
    <n v="270"/>
    <s v="MIS TANWIRIYYAH"/>
    <m/>
    <n v="111232030146"/>
    <x v="11"/>
    <s v="Karangtengah"/>
    <m/>
    <s v="Swasta"/>
    <n v="390"/>
    <n v="387"/>
    <n v="405"/>
    <x v="9"/>
    <x v="11"/>
    <s v="SINDANGLAKA 2"/>
  </r>
  <r>
    <n v="271"/>
    <s v="MIS AL-MADINAH"/>
    <m/>
    <n v="111232030227"/>
    <x v="11"/>
    <s v="Karangtengah"/>
    <m/>
    <s v="Swasta"/>
    <n v="111"/>
    <n v="124"/>
    <n v="135"/>
    <x v="10"/>
    <x v="12"/>
    <s v="CIHERANG 1"/>
  </r>
  <r>
    <n v="272"/>
    <s v="MTSS ATS-TSUUR"/>
    <m/>
    <n v="121232030048"/>
    <x v="12"/>
    <s v="Karangtengah"/>
    <m/>
    <s v="Swasta"/>
    <n v="306"/>
    <n v="270"/>
    <n v="294"/>
    <x v="21"/>
    <x v="15"/>
    <s v="HEGARMANAH 2"/>
  </r>
  <r>
    <n v="273"/>
    <s v="MTSS MANARUL HUDA"/>
    <m/>
    <n v="121232030050"/>
    <x v="12"/>
    <s v="Karangtengah"/>
    <m/>
    <s v="Swasta"/>
    <n v="338"/>
    <n v="338"/>
    <n v="381"/>
    <x v="25"/>
    <x v="13"/>
    <s v="SUKAMANAH"/>
  </r>
  <r>
    <n v="274"/>
    <s v="MTSS TANWIRIYYAH"/>
    <m/>
    <n v="121232030051"/>
    <x v="12"/>
    <s v="Karangtengah"/>
    <m/>
    <s v="Swasta"/>
    <n v="521"/>
    <n v="444"/>
    <n v="464"/>
    <x v="9"/>
    <x v="11"/>
    <s v="SINDANGLAKA 2"/>
  </r>
  <r>
    <n v="275"/>
    <s v="MTSS INSAN AMANAH"/>
    <m/>
    <n v="121232030052"/>
    <x v="12"/>
    <s v="Karangtengah"/>
    <m/>
    <s v="Swasta"/>
    <n v="150"/>
    <n v="136"/>
    <n v="144"/>
    <x v="17"/>
    <x v="18"/>
    <s v="SINDANGLAKA 3"/>
  </r>
  <r>
    <n v="276"/>
    <s v="MTSS RAUDLATUL IRFAN"/>
    <m/>
    <n v="121232030053"/>
    <x v="12"/>
    <s v="Karangtengah"/>
    <m/>
    <s v="Swasta"/>
    <n v="148"/>
    <n v="130"/>
    <n v="142"/>
    <x v="21"/>
    <x v="5"/>
    <s v="SINDANGLAKA 5"/>
  </r>
  <r>
    <n v="277"/>
    <s v="MTSS SA AL-ISTIQOMAH"/>
    <m/>
    <n v="121232030093"/>
    <x v="12"/>
    <s v="Karangtengah"/>
    <m/>
    <s v="Swasta"/>
    <n v="386"/>
    <n v="390"/>
    <n v="409"/>
    <x v="21"/>
    <x v="23"/>
    <s v="BOJONG 3"/>
  </r>
  <r>
    <n v="278"/>
    <s v="MTSS AL-IKHWAN"/>
    <m/>
    <n v="121232030113"/>
    <x v="12"/>
    <s v="Karangtengah"/>
    <m/>
    <s v="Swasta"/>
    <n v="72"/>
    <n v="93"/>
    <n v="105"/>
    <x v="12"/>
    <x v="20"/>
    <s v="SINDANGASIH 2"/>
  </r>
  <r>
    <n v="279"/>
    <s v="MTSS AL JAYANI"/>
    <m/>
    <n v="121232030115"/>
    <x v="12"/>
    <s v="Karangtengah"/>
    <m/>
    <s v="Swasta"/>
    <n v="230"/>
    <n v="210"/>
    <n v="220"/>
    <x v="14"/>
    <x v="16"/>
    <s v="HEGARMANAH 3"/>
  </r>
  <r>
    <n v="280"/>
    <s v="MTSS YASPINA"/>
    <m/>
    <n v="121232030128"/>
    <x v="12"/>
    <s v="Karangtengah"/>
    <m/>
    <s v="Swasta"/>
    <n v="67"/>
    <n v="54"/>
    <n v="68"/>
    <x v="20"/>
    <x v="22"/>
    <s v="HEGARMANAH 1"/>
  </r>
  <r>
    <n v="281"/>
    <s v="MTSS AL-KARIMAH"/>
    <m/>
    <n v="121232030150"/>
    <x v="12"/>
    <s v="Karangtengah"/>
    <m/>
    <s v="Swasta"/>
    <n v="114"/>
    <n v="117"/>
    <n v="119"/>
    <x v="13"/>
    <x v="0"/>
    <s v="SUKATARIS"/>
  </r>
  <r>
    <n v="282"/>
    <s v="MAS TANWIRIYYAH"/>
    <m/>
    <n v="131232030018"/>
    <x v="13"/>
    <s v="Karangtengah"/>
    <m/>
    <s v="Swasta"/>
    <n v="206"/>
    <n v="189"/>
    <n v="209"/>
    <x v="9"/>
    <x v="11"/>
    <s v="SINDANGLAKA 2"/>
  </r>
  <r>
    <n v="283"/>
    <s v="MAS YAPISNA"/>
    <m/>
    <n v="131232030032"/>
    <x v="13"/>
    <s v="Karangtengah"/>
    <m/>
    <s v="Swasta"/>
    <n v="58"/>
    <n v="41"/>
    <n v="50"/>
    <x v="1"/>
    <x v="1"/>
    <s v="MALEBER"/>
  </r>
  <r>
    <n v="284"/>
    <s v="MAS AL-MADINAH"/>
    <m/>
    <n v="131232030042"/>
    <x v="13"/>
    <s v="Karangtengah"/>
    <m/>
    <s v="Swasta"/>
    <n v="118"/>
    <n v="105"/>
    <n v="119"/>
    <x v="10"/>
    <x v="12"/>
    <s v="CIHERANG 1"/>
  </r>
  <r>
    <n v="285"/>
    <s v="MAS MITRA AL KHAIDIR BOARDING SCHOOL"/>
    <m/>
    <n v="131232030059"/>
    <x v="13"/>
    <s v="Karangtengah"/>
    <m/>
    <s v="Swasta"/>
    <n v="150"/>
    <n v="40"/>
    <n v="78"/>
    <x v="16"/>
    <x v="5"/>
    <s v="SINDANGLAKA 5"/>
  </r>
  <r>
    <n v="286"/>
    <s v="MAS AL MUSTOFAWIYAH"/>
    <m/>
    <n v="131232030066"/>
    <x v="13"/>
    <s v="Karangtengah"/>
    <m/>
    <s v="Swasta"/>
    <n v="73"/>
    <n v="73"/>
    <n v="73"/>
    <x v="1"/>
    <x v="1"/>
    <s v="MALEBER"/>
  </r>
  <r>
    <n v="287"/>
    <s v="SMK PELITA"/>
    <m/>
    <m/>
    <x v="14"/>
    <m/>
    <m/>
    <m/>
    <m/>
    <n v="85"/>
    <n v="97"/>
    <x v="21"/>
    <x v="14"/>
    <s v="BOJONG 3"/>
  </r>
  <r>
    <n v="288"/>
    <s v="PAUD MAWAR"/>
    <n v="0"/>
    <m/>
    <x v="14"/>
    <m/>
    <m/>
    <m/>
    <m/>
    <n v="17"/>
    <n v="21"/>
    <x v="2"/>
    <x v="2"/>
    <s v="BOJONG 1"/>
  </r>
  <r>
    <n v="289"/>
    <s v="SMA IT NAJMULQURRO"/>
    <m/>
    <m/>
    <x v="14"/>
    <m/>
    <m/>
    <m/>
    <m/>
    <n v="59"/>
    <n v="59"/>
    <x v="2"/>
    <x v="2"/>
    <s v="BOJONG 1"/>
  </r>
  <r>
    <n v="290"/>
    <s v="Bebas Merdeka Comunity"/>
    <m/>
    <m/>
    <x v="14"/>
    <m/>
    <m/>
    <m/>
    <m/>
    <n v="15"/>
    <n v="15"/>
    <x v="12"/>
    <x v="14"/>
    <s v="BOJONG 3"/>
  </r>
  <r>
    <n v="291"/>
    <s v="SMA ISLAM SULAIMANIYYAH"/>
    <m/>
    <m/>
    <x v="14"/>
    <m/>
    <m/>
    <m/>
    <m/>
    <n v="30"/>
    <n v="35"/>
    <x v="12"/>
    <x v="23"/>
    <s v="SUKASARI"/>
  </r>
  <r>
    <n v="292"/>
    <s v="AL-FITROH"/>
    <m/>
    <m/>
    <x v="14"/>
    <m/>
    <m/>
    <m/>
    <m/>
    <n v="14"/>
    <n v="17"/>
    <x v="10"/>
    <x v="12"/>
    <s v="CIHERANG 1"/>
  </r>
  <r>
    <n v="293"/>
    <s v="SMA BAITUL ULUM"/>
    <m/>
    <m/>
    <x v="14"/>
    <m/>
    <m/>
    <m/>
    <m/>
    <n v="35"/>
    <n v="55"/>
    <x v="20"/>
    <x v="2"/>
    <s v="BOJONG 1"/>
  </r>
  <r>
    <n v="294"/>
    <s v="AL-MANSHUR"/>
    <m/>
    <m/>
    <x v="14"/>
    <m/>
    <m/>
    <m/>
    <m/>
    <n v="20"/>
    <n v="23"/>
    <x v="20"/>
    <x v="22"/>
    <s v="HEGARMANAH 1"/>
  </r>
  <r>
    <n v="295"/>
    <s v="MA YASPINA"/>
    <m/>
    <m/>
    <x v="14"/>
    <m/>
    <m/>
    <m/>
    <m/>
    <n v="35"/>
    <n v="41"/>
    <x v="20"/>
    <x v="22"/>
    <s v="HEGARMANAH 1"/>
  </r>
  <r>
    <n v="296"/>
    <s v="DARUL QIRO`AH ALJULAENIAH"/>
    <m/>
    <m/>
    <x v="14"/>
    <m/>
    <m/>
    <m/>
    <m/>
    <n v="25"/>
    <n v="27"/>
    <x v="14"/>
    <x v="16"/>
    <s v="HEGARMANAH 3"/>
  </r>
  <r>
    <n v="297"/>
    <s v="Miftahul Huda Utsmaniyyah IX"/>
    <m/>
    <m/>
    <x v="14"/>
    <m/>
    <m/>
    <m/>
    <m/>
    <n v="91"/>
    <n v="125"/>
    <x v="14"/>
    <x v="16"/>
    <s v="HEGARMANAH 3"/>
  </r>
  <r>
    <n v="298"/>
    <s v="PAUD AT-TAUFIQ"/>
    <m/>
    <m/>
    <x v="14"/>
    <m/>
    <m/>
    <m/>
    <m/>
    <n v="70"/>
    <n v="78"/>
    <x v="14"/>
    <x v="16"/>
    <s v="HEGARMANAH 3"/>
  </r>
  <r>
    <n v="299"/>
    <s v="RA/BA/TA AL-HIDAYAH"/>
    <m/>
    <m/>
    <x v="14"/>
    <m/>
    <m/>
    <m/>
    <m/>
    <n v="25"/>
    <n v="30"/>
    <x v="14"/>
    <x v="16"/>
    <s v="HEGARMANAH 3"/>
  </r>
  <r>
    <n v="300"/>
    <s v="BINA CERDAS NANGEWER"/>
    <m/>
    <m/>
    <x v="14"/>
    <m/>
    <m/>
    <m/>
    <m/>
    <n v="27"/>
    <n v="30"/>
    <x v="14"/>
    <x v="16"/>
    <s v="HEGARMANAH 3"/>
  </r>
  <r>
    <n v="301"/>
    <s v="BINA CERDAS"/>
    <m/>
    <m/>
    <x v="14"/>
    <m/>
    <m/>
    <m/>
    <m/>
    <n v="101"/>
    <n v="107"/>
    <x v="14"/>
    <x v="16"/>
    <s v="HEGARMANAH 3"/>
  </r>
  <r>
    <n v="302"/>
    <s v="TKA NURUSSIBYAN"/>
    <m/>
    <m/>
    <x v="14"/>
    <m/>
    <m/>
    <m/>
    <m/>
    <n v="10"/>
    <n v="15"/>
    <x v="14"/>
    <x v="16"/>
    <s v="HEGARMANAH 3"/>
  </r>
  <r>
    <n v="303"/>
    <s v="NURUL HIKMAH"/>
    <m/>
    <m/>
    <x v="14"/>
    <m/>
    <m/>
    <m/>
    <m/>
    <n v="77"/>
    <n v="84"/>
    <x v="1"/>
    <x v="1"/>
    <s v="MALEBER"/>
  </r>
  <r>
    <n v="305"/>
    <s v="AN NURUL BAROKAH"/>
    <m/>
    <m/>
    <x v="14"/>
    <m/>
    <m/>
    <m/>
    <m/>
    <n v="52"/>
    <n v="56"/>
    <x v="8"/>
    <x v="10"/>
    <s v="SABANDAR 2"/>
  </r>
  <r>
    <n v="306"/>
    <s v="DARUTAUHID"/>
    <m/>
    <m/>
    <x v="14"/>
    <m/>
    <m/>
    <m/>
    <m/>
    <n v="22"/>
    <n v="22"/>
    <x v="8"/>
    <x v="10"/>
    <s v="SABANDAR 2"/>
  </r>
  <r>
    <n v="307"/>
    <s v="DARUTAUHID"/>
    <m/>
    <m/>
    <x v="14"/>
    <m/>
    <m/>
    <m/>
    <m/>
    <n v="23"/>
    <n v="28"/>
    <x v="8"/>
    <x v="10"/>
    <s v="SABANDAR 2"/>
  </r>
  <r>
    <n v="308"/>
    <s v="MTS RAUDHATUL IRFAN"/>
    <m/>
    <m/>
    <x v="14"/>
    <m/>
    <m/>
    <m/>
    <m/>
    <n v="44"/>
    <n v="49"/>
    <x v="11"/>
    <x v="13"/>
    <s v="SINDANGASIH"/>
  </r>
  <r>
    <n v="309"/>
    <s v="TKQ RIADUL HUDA"/>
    <m/>
    <m/>
    <x v="14"/>
    <m/>
    <m/>
    <m/>
    <m/>
    <n v="61"/>
    <n v="65"/>
    <x v="11"/>
    <x v="13"/>
    <s v="SINDANGASIH"/>
  </r>
  <r>
    <n v="310"/>
    <s v="PAUD AL HIDAYAH"/>
    <m/>
    <m/>
    <x v="14"/>
    <m/>
    <m/>
    <m/>
    <m/>
    <n v="38"/>
    <n v="42"/>
    <x v="17"/>
    <x v="18"/>
    <s v="SINDANGLAKA 3"/>
  </r>
  <r>
    <n v="311"/>
    <s v="PAUD DARUL FIKAR"/>
    <m/>
    <m/>
    <x v="14"/>
    <m/>
    <m/>
    <m/>
    <m/>
    <n v="115"/>
    <n v="120"/>
    <x v="17"/>
    <x v="18"/>
    <s v="SINDANGLAKA 3"/>
  </r>
  <r>
    <n v="312"/>
    <s v="DARUL HUDA"/>
    <m/>
    <m/>
    <x v="14"/>
    <m/>
    <m/>
    <m/>
    <m/>
    <n v="22"/>
    <n v="22"/>
    <x v="17"/>
    <x v="18"/>
    <s v="SINDANGLAKA 3"/>
  </r>
  <r>
    <n v="313"/>
    <s v="SMP DARUL HUDA"/>
    <m/>
    <m/>
    <x v="14"/>
    <m/>
    <m/>
    <m/>
    <m/>
    <n v="32"/>
    <n v="34"/>
    <x v="17"/>
    <x v="18"/>
    <s v="SINDANGLAKA 3"/>
  </r>
  <r>
    <n v="314"/>
    <s v="PAUD CAMPAKA"/>
    <m/>
    <m/>
    <x v="14"/>
    <m/>
    <m/>
    <m/>
    <m/>
    <n v="29"/>
    <n v="31"/>
    <x v="7"/>
    <x v="22"/>
    <s v="HEGARMANAH 1"/>
  </r>
  <r>
    <n v="315"/>
    <s v="PONPES IZZUL ISLAM"/>
    <m/>
    <m/>
    <x v="14"/>
    <m/>
    <m/>
    <m/>
    <m/>
    <n v="249"/>
    <n v="265"/>
    <x v="7"/>
    <x v="13"/>
    <s v="SINDANGASIH 2"/>
  </r>
  <r>
    <n v="316"/>
    <s v="PAUDQU Assa`adah"/>
    <m/>
    <m/>
    <x v="14"/>
    <m/>
    <m/>
    <m/>
    <m/>
    <n v="53"/>
    <n v="59"/>
    <x v="6"/>
    <x v="7"/>
    <s v="SUKAJADI"/>
  </r>
  <r>
    <n v="317"/>
    <s v="PAUD KENANGA"/>
    <m/>
    <m/>
    <x v="14"/>
    <m/>
    <m/>
    <m/>
    <m/>
    <n v="19"/>
    <n v="21"/>
    <x v="5"/>
    <x v="8"/>
    <s v="SUKAMANTRI"/>
  </r>
  <r>
    <n v="318"/>
    <s v="UMMI AL-RASYID"/>
    <m/>
    <m/>
    <x v="14"/>
    <m/>
    <m/>
    <m/>
    <m/>
    <n v="38"/>
    <n v="40"/>
    <x v="5"/>
    <x v="8"/>
    <s v="SUKAMANTRI"/>
  </r>
  <r>
    <n v="319"/>
    <s v="RA AL - KHAWARIZMI AN NUR"/>
    <m/>
    <m/>
    <x v="14"/>
    <m/>
    <m/>
    <m/>
    <m/>
    <n v="25"/>
    <n v="27"/>
    <x v="5"/>
    <x v="24"/>
    <s v="KEC CIANJUR"/>
  </r>
  <r>
    <n v="320"/>
    <s v="RA PERSIS NO 380 Al-ittihad"/>
    <m/>
    <m/>
    <x v="14"/>
    <m/>
    <m/>
    <m/>
    <m/>
    <n v="26"/>
    <n v="28"/>
    <x v="5"/>
    <x v="24"/>
    <s v="KEC CIANJUR"/>
  </r>
  <r>
    <n v="321"/>
    <s v="TK TRI DHARMA KOSGORO"/>
    <m/>
    <m/>
    <x v="14"/>
    <m/>
    <m/>
    <m/>
    <m/>
    <n v="34"/>
    <n v="36"/>
    <x v="5"/>
    <x v="24"/>
    <s v="KEC CIANJUR"/>
  </r>
  <r>
    <n v="322"/>
    <s v="TKQ NURANI ANAK BANGSA"/>
    <m/>
    <m/>
    <x v="14"/>
    <m/>
    <m/>
    <m/>
    <m/>
    <n v="16"/>
    <n v="17"/>
    <x v="5"/>
    <x v="15"/>
    <s v="HEGARMANAH 2"/>
  </r>
  <r>
    <n v="323"/>
    <s v="RA Persis Baiturrahim"/>
    <m/>
    <m/>
    <x v="14"/>
    <m/>
    <m/>
    <m/>
    <m/>
    <n v="29"/>
    <n v="34"/>
    <x v="13"/>
    <x v="24"/>
    <s v="KEC CIANJUR"/>
  </r>
  <r>
    <n v="324"/>
    <s v="SD Islam Al-Maad"/>
    <m/>
    <m/>
    <x v="14"/>
    <m/>
    <m/>
    <m/>
    <m/>
    <n v="52"/>
    <n v="63"/>
    <x v="13"/>
    <x v="24"/>
    <s v="KEC CIANJUR"/>
  </r>
  <r>
    <n v="325"/>
    <s v="TK Al-Maad"/>
    <m/>
    <m/>
    <x v="14"/>
    <m/>
    <m/>
    <m/>
    <m/>
    <n v="16"/>
    <n v="19"/>
    <x v="13"/>
    <x v="24"/>
    <s v="KEC CIANJUR"/>
  </r>
  <r>
    <n v="326"/>
    <s v="TK Miftahul Huda"/>
    <m/>
    <m/>
    <x v="14"/>
    <m/>
    <m/>
    <m/>
    <m/>
    <n v="21"/>
    <n v="25"/>
    <x v="13"/>
    <x v="0"/>
    <s v="SUKATARIS"/>
  </r>
  <r>
    <n v="327"/>
    <s v="TK LESQ CERIA SAMOLA"/>
    <m/>
    <m/>
    <x v="14"/>
    <m/>
    <m/>
    <m/>
    <m/>
    <n v="39"/>
    <n v="39"/>
    <x v="16"/>
    <x v="5"/>
    <s v="CIHERANG 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D27" firstHeaderRow="0" firstDataRow="1" firstDataCol="1" rowPageCount="2" colPageCount="1"/>
  <pivotFields count="14">
    <pivotField showAll="0"/>
    <pivotField dataField="1" showAll="0"/>
    <pivotField showAll="0" defaultSubtotal="0"/>
    <pivotField showAll="0"/>
    <pivotField axis="axisPage" multipleItemSelectionAllowed="1" showAll="0">
      <items count="16">
        <item x="1"/>
        <item x="13"/>
        <item x="10"/>
        <item x="11"/>
        <item x="12"/>
        <item x="7"/>
        <item x="9"/>
        <item x="3"/>
        <item x="8"/>
        <item x="5"/>
        <item x="6"/>
        <item x="4"/>
        <item x="2"/>
        <item x="0"/>
        <item x="14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axis="axisPage" showAll="0" sortType="ascending">
      <items count="27">
        <item x="3"/>
        <item x="0"/>
        <item x="25"/>
        <item x="22"/>
        <item x="2"/>
        <item x="15"/>
        <item x="12"/>
        <item x="4"/>
        <item x="24"/>
        <item x="10"/>
        <item x="16"/>
        <item x="20"/>
        <item x="21"/>
        <item x="14"/>
        <item x="1"/>
        <item x="8"/>
        <item x="11"/>
        <item x="18"/>
        <item x="9"/>
        <item x="17"/>
        <item x="7"/>
        <item x="6"/>
        <item x="5"/>
        <item x="23"/>
        <item x="13"/>
        <item x="19"/>
        <item t="default"/>
      </items>
    </pivotField>
    <pivotField axis="axisRow" showAll="0" sortType="ascending">
      <items count="26">
        <item h="1" x="3"/>
        <item h="1" x="6"/>
        <item x="2"/>
        <item x="17"/>
        <item x="14"/>
        <item x="4"/>
        <item x="20"/>
        <item x="12"/>
        <item x="5"/>
        <item x="22"/>
        <item x="15"/>
        <item x="16"/>
        <item h="1" x="24"/>
        <item x="1"/>
        <item x="10"/>
        <item x="13"/>
        <item x="19"/>
        <item x="11"/>
        <item x="18"/>
        <item x="9"/>
        <item x="7"/>
        <item x="8"/>
        <item x="23"/>
        <item x="0"/>
        <item x="21"/>
        <item t="default"/>
      </items>
    </pivotField>
    <pivotField showAll="0" defaultSubtotal="0"/>
  </pivotFields>
  <rowFields count="1">
    <field x="12"/>
  </rowFields>
  <rowItems count="23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11" hier="-1"/>
  </pageFields>
  <dataFields count="3">
    <dataField name="Sum of Data Real PD" fld="9" baseField="10" baseItem="0"/>
    <dataField name="Sum of TENDIK" fld="10" baseField="10" baseItem="29"/>
    <dataField name="Count of Nama Sekolah" fld="1" subtotal="count" baseField="0" baseItem="0"/>
  </dataFields>
  <formats count="4">
    <format dxfId="3">
      <pivotArea collapsedLevelsAreSubtotals="1" fieldPosition="0">
        <references count="1">
          <reference field="11" count="1">
            <x v="1"/>
          </reference>
        </references>
      </pivotArea>
    </format>
    <format dxfId="2">
      <pivotArea dataOnly="0" labelOnly="1" fieldPosition="0">
        <references count="1">
          <reference field="11" count="1">
            <x v="1"/>
          </reference>
        </references>
      </pivotArea>
    </format>
    <format dxfId="1">
      <pivotArea collapsedLevelsAreSubtotals="1" fieldPosition="0">
        <references count="1">
          <reference field="11" count="1">
            <x v="0"/>
          </reference>
        </references>
      </pivotArea>
    </format>
    <format dxfId="0">
      <pivotArea dataOnly="0" labelOnly="1" fieldPosition="0">
        <references count="1">
          <reference field="11" count="1">
            <x v="0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80" applyNumberFormats="0" applyBorderFormats="0" applyFontFormats="0" applyPatternFormats="0" applyAlignmentFormats="0" applyWidthHeightFormats="1" dataCaption="Values" updatedVersion="6" minRefreshableVersion="3" showDrill="0" useAutoFormatting="1" itemPrintTitles="1" createdVersion="6" indent="0" outline="1" outlineData="1" multipleFieldFilters="0">
  <location ref="A3:D30" firstHeaderRow="0" firstDataRow="1" firstDataCol="1" rowPageCount="1" colPageCount="1"/>
  <pivotFields count="14">
    <pivotField numFmtId="1" showAll="0"/>
    <pivotField dataField="1" showAll="0"/>
    <pivotField showAll="0"/>
    <pivotField showAll="0"/>
    <pivotField axis="axisPage" multipleItemSelectionAllowed="1" showAll="0">
      <items count="16">
        <item x="1"/>
        <item x="13"/>
        <item x="10"/>
        <item x="11"/>
        <item x="12"/>
        <item x="7"/>
        <item x="9"/>
        <item x="3"/>
        <item x="8"/>
        <item x="5"/>
        <item x="6"/>
        <item x="4"/>
        <item x="2"/>
        <item x="0"/>
        <item x="14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 sortType="ascending">
      <items count="30">
        <item h="1" x="3"/>
        <item h="1" x="6"/>
        <item x="2"/>
        <item x="18"/>
        <item x="14"/>
        <item x="4"/>
        <item x="16"/>
        <item x="12"/>
        <item x="5"/>
        <item x="24"/>
        <item x="25"/>
        <item x="17"/>
        <item h="1" x="28"/>
        <item x="1"/>
        <item x="10"/>
        <item x="15"/>
        <item x="13"/>
        <item x="21"/>
        <item x="11"/>
        <item x="19"/>
        <item x="9"/>
        <item x="26"/>
        <item x="7"/>
        <item x="27"/>
        <item x="8"/>
        <item x="23"/>
        <item x="22"/>
        <item x="0"/>
        <item x="20"/>
        <item t="default"/>
      </items>
    </pivotField>
  </pivotFields>
  <rowFields count="1">
    <field x="13"/>
  </rowFields>
  <rowItems count="27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-1"/>
  </pageFields>
  <dataFields count="3">
    <dataField name="Sum of Data Real PD" fld="9" baseField="13" baseItem="0"/>
    <dataField name="Sum of TENDIK" fld="10" baseField="13" baseItem="0"/>
    <dataField name="Count of Nama Sekolah" fld="1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opLeftCell="A7" zoomScaleNormal="100" workbookViewId="0">
      <selection activeCell="C10" sqref="C10"/>
    </sheetView>
  </sheetViews>
  <sheetFormatPr defaultRowHeight="15"/>
  <cols>
    <col min="1" max="1" width="15.5703125" customWidth="1"/>
    <col min="2" max="2" width="19" bestFit="1" customWidth="1"/>
    <col min="3" max="3" width="14.140625" bestFit="1" customWidth="1"/>
    <col min="4" max="4" width="22" bestFit="1" customWidth="1"/>
    <col min="5" max="5" width="9.5703125" bestFit="1" customWidth="1"/>
    <col min="6" max="6" width="6.7109375" bestFit="1" customWidth="1"/>
    <col min="7" max="7" width="16.140625" bestFit="1" customWidth="1"/>
    <col min="8" max="8" width="13.5703125" bestFit="1" customWidth="1"/>
    <col min="9" max="9" width="21.42578125" bestFit="1" customWidth="1"/>
    <col min="10" max="10" width="10.140625" bestFit="1" customWidth="1"/>
    <col min="11" max="11" width="10.85546875" bestFit="1" customWidth="1"/>
    <col min="12" max="12" width="4.42578125" bestFit="1" customWidth="1"/>
  </cols>
  <sheetData>
    <row r="1" spans="1:17">
      <c r="A1" s="26" t="s">
        <v>3</v>
      </c>
      <c r="B1" s="65" t="s">
        <v>490</v>
      </c>
    </row>
    <row r="2" spans="1:17">
      <c r="A2" s="26" t="s">
        <v>258</v>
      </c>
      <c r="B2" s="65" t="s">
        <v>490</v>
      </c>
    </row>
    <row r="4" spans="1:17">
      <c r="A4" s="26" t="s">
        <v>428</v>
      </c>
      <c r="B4" s="65" t="s">
        <v>489</v>
      </c>
      <c r="C4" s="65" t="s">
        <v>495</v>
      </c>
      <c r="D4" s="65" t="s">
        <v>430</v>
      </c>
      <c r="F4" s="11"/>
      <c r="G4" s="10" t="s">
        <v>496</v>
      </c>
      <c r="H4" s="27" t="s">
        <v>498</v>
      </c>
      <c r="I4" s="27" t="s">
        <v>433</v>
      </c>
      <c r="J4" s="11" t="s">
        <v>497</v>
      </c>
      <c r="K4" t="s">
        <v>496</v>
      </c>
    </row>
    <row r="5" spans="1:17">
      <c r="A5" s="8" t="s">
        <v>439</v>
      </c>
      <c r="B5" s="7">
        <v>2325</v>
      </c>
      <c r="C5" s="7">
        <v>2449</v>
      </c>
      <c r="D5" s="7">
        <v>17</v>
      </c>
      <c r="F5" s="11">
        <f>GETPIVOTDATA("Sum of TENDIK",$A$4,"Distribusi","BOJONG 1")</f>
        <v>2449</v>
      </c>
      <c r="G5" s="30" t="s">
        <v>439</v>
      </c>
      <c r="H5" s="9">
        <v>517</v>
      </c>
      <c r="I5" s="9">
        <v>517</v>
      </c>
      <c r="J5" s="11">
        <f>F5+I5+K5+L5</f>
        <v>2966</v>
      </c>
    </row>
    <row r="6" spans="1:17">
      <c r="A6" s="8" t="s">
        <v>434</v>
      </c>
      <c r="B6" s="7">
        <v>2610</v>
      </c>
      <c r="C6" s="7">
        <v>2699</v>
      </c>
      <c r="D6" s="7">
        <v>7</v>
      </c>
      <c r="F6" s="11">
        <f>GETPIVOTDATA("Sum of TENDIK",$A$4,"Distribusi","BOJONG 2")</f>
        <v>2699</v>
      </c>
      <c r="G6" s="30" t="s">
        <v>434</v>
      </c>
      <c r="H6" s="9">
        <v>242</v>
      </c>
      <c r="I6" s="9">
        <v>242</v>
      </c>
      <c r="J6" s="11">
        <f t="shared" ref="J6:J25" si="0">F6+I6+K6+L6</f>
        <v>2941</v>
      </c>
    </row>
    <row r="7" spans="1:17">
      <c r="A7" s="8" t="s">
        <v>435</v>
      </c>
      <c r="B7" s="7">
        <v>1304</v>
      </c>
      <c r="C7" s="7">
        <v>2096</v>
      </c>
      <c r="D7" s="7">
        <v>9</v>
      </c>
      <c r="E7" t="s">
        <v>514</v>
      </c>
      <c r="F7" s="11">
        <f>GETPIVOTDATA("Sum of TENDIK",$A$4,"Distribusi","BOJONG 3")</f>
        <v>2096</v>
      </c>
      <c r="G7" s="30" t="s">
        <v>435</v>
      </c>
      <c r="H7" s="9">
        <v>530</v>
      </c>
      <c r="I7" s="9">
        <v>530</v>
      </c>
      <c r="J7" s="11">
        <f t="shared" si="0"/>
        <v>2626</v>
      </c>
    </row>
    <row r="8" spans="1:17">
      <c r="A8" s="8" t="s">
        <v>442</v>
      </c>
      <c r="B8" s="7">
        <v>2102</v>
      </c>
      <c r="C8" s="7">
        <v>2201</v>
      </c>
      <c r="D8" s="7">
        <v>14</v>
      </c>
      <c r="F8" s="11">
        <f>GETPIVOTDATA("Sum of TENDIK",$A$4,"Distribusi","BOJONG 4")</f>
        <v>2201</v>
      </c>
      <c r="G8" s="30" t="s">
        <v>442</v>
      </c>
      <c r="H8" s="9">
        <v>611</v>
      </c>
      <c r="I8" s="9">
        <v>647</v>
      </c>
      <c r="J8" s="11">
        <f t="shared" si="0"/>
        <v>2848</v>
      </c>
      <c r="Q8" s="34" t="s">
        <v>506</v>
      </c>
    </row>
    <row r="9" spans="1:17">
      <c r="A9" s="8" t="s">
        <v>465</v>
      </c>
      <c r="B9" s="7">
        <v>2204</v>
      </c>
      <c r="C9" s="7">
        <v>2251</v>
      </c>
      <c r="D9" s="7">
        <v>11</v>
      </c>
      <c r="E9" t="s">
        <v>513</v>
      </c>
      <c r="F9" s="11">
        <f>GETPIVOTDATA("Sum of TENDIK",$A$4,"Distribusi","BOJONG 5")</f>
        <v>2251</v>
      </c>
      <c r="G9" s="30" t="s">
        <v>465</v>
      </c>
      <c r="H9" s="9">
        <v>464</v>
      </c>
      <c r="I9" s="9">
        <v>464</v>
      </c>
      <c r="J9" s="11">
        <f>F9+I9+K9+L9</f>
        <v>3046</v>
      </c>
      <c r="K9">
        <v>50</v>
      </c>
      <c r="L9">
        <v>281</v>
      </c>
    </row>
    <row r="10" spans="1:17">
      <c r="A10" s="8" t="s">
        <v>441</v>
      </c>
      <c r="B10" s="7">
        <v>1979</v>
      </c>
      <c r="C10" s="7">
        <v>2241</v>
      </c>
      <c r="D10" s="7">
        <v>21</v>
      </c>
      <c r="F10" s="11">
        <f>GETPIVOTDATA("Sum of TENDIK",$A$4,"Distribusi","CIHERANG 1")</f>
        <v>2241</v>
      </c>
      <c r="G10" s="30" t="s">
        <v>441</v>
      </c>
      <c r="H10" s="9">
        <v>475</v>
      </c>
      <c r="I10" s="9">
        <v>507</v>
      </c>
      <c r="J10" s="11">
        <f t="shared" si="0"/>
        <v>3159</v>
      </c>
      <c r="K10">
        <v>411</v>
      </c>
    </row>
    <row r="11" spans="1:17">
      <c r="A11" s="8" t="s">
        <v>464</v>
      </c>
      <c r="B11" s="7">
        <v>2920</v>
      </c>
      <c r="C11" s="7">
        <v>2688</v>
      </c>
      <c r="D11" s="7">
        <v>20</v>
      </c>
      <c r="F11" s="11">
        <f>GETPIVOTDATA("Sum of TENDIK",$A$4,"Distribusi","CIHERANG 2")</f>
        <v>2688</v>
      </c>
      <c r="G11" s="30" t="s">
        <v>464</v>
      </c>
      <c r="H11" s="9">
        <v>411</v>
      </c>
      <c r="I11" s="9">
        <v>0</v>
      </c>
      <c r="J11" s="11">
        <f t="shared" si="0"/>
        <v>3205</v>
      </c>
      <c r="K11">
        <v>517</v>
      </c>
    </row>
    <row r="12" spans="1:17">
      <c r="A12" s="8" t="s">
        <v>440</v>
      </c>
      <c r="B12" s="7">
        <v>1447</v>
      </c>
      <c r="C12" s="7">
        <v>1564</v>
      </c>
      <c r="D12" s="7">
        <v>10</v>
      </c>
      <c r="F12" s="11">
        <f>GETPIVOTDATA("Sum of TENDIK",$A$4,"Distribusi","HEGARMANAH 1")</f>
        <v>1564</v>
      </c>
      <c r="G12" s="30" t="s">
        <v>440</v>
      </c>
      <c r="H12" s="9">
        <v>1111</v>
      </c>
      <c r="I12" s="9">
        <v>0</v>
      </c>
      <c r="J12" s="11">
        <f t="shared" si="0"/>
        <v>3008</v>
      </c>
      <c r="K12" s="31">
        <v>1444</v>
      </c>
    </row>
    <row r="13" spans="1:17">
      <c r="A13" s="8" t="s">
        <v>431</v>
      </c>
      <c r="B13" s="7">
        <v>1892</v>
      </c>
      <c r="C13" s="7">
        <v>2047</v>
      </c>
      <c r="D13" s="7">
        <v>13</v>
      </c>
      <c r="F13" s="11">
        <f>GETPIVOTDATA("Sum of TENDIK",$A$4,"Distribusi","HEGARMANAH 2")</f>
        <v>2047</v>
      </c>
      <c r="G13" s="30" t="s">
        <v>431</v>
      </c>
      <c r="H13" s="9">
        <v>854</v>
      </c>
      <c r="I13" s="9">
        <v>899</v>
      </c>
      <c r="J13" s="11">
        <f t="shared" si="0"/>
        <v>2946</v>
      </c>
    </row>
    <row r="14" spans="1:17">
      <c r="A14" s="8" t="s">
        <v>443</v>
      </c>
      <c r="B14" s="7">
        <v>2862</v>
      </c>
      <c r="C14" s="7">
        <v>2628</v>
      </c>
      <c r="D14" s="7">
        <v>25</v>
      </c>
      <c r="F14" s="11">
        <f>GETPIVOTDATA("Sum of TENDIK",$A$4,"Distribusi","HEGARMANAH 3")</f>
        <v>2628</v>
      </c>
      <c r="G14" s="30" t="s">
        <v>443</v>
      </c>
      <c r="H14" s="9">
        <v>408</v>
      </c>
      <c r="I14" s="9">
        <v>438</v>
      </c>
      <c r="J14" s="11">
        <f t="shared" si="0"/>
        <v>3066</v>
      </c>
    </row>
    <row r="15" spans="1:17">
      <c r="A15" s="8" t="s">
        <v>415</v>
      </c>
      <c r="B15" s="7">
        <v>1788</v>
      </c>
      <c r="C15" s="7">
        <v>1926</v>
      </c>
      <c r="D15" s="7">
        <v>12</v>
      </c>
      <c r="F15" s="11">
        <f>GETPIVOTDATA("Sum of TENDIK",$A$4,"Distribusi","MALEBER")</f>
        <v>1926</v>
      </c>
      <c r="G15" s="30" t="s">
        <v>415</v>
      </c>
      <c r="H15" s="9">
        <v>913</v>
      </c>
      <c r="I15" s="9">
        <v>963</v>
      </c>
      <c r="J15" s="11">
        <f t="shared" si="0"/>
        <v>2889</v>
      </c>
    </row>
    <row r="16" spans="1:17">
      <c r="A16" s="8" t="s">
        <v>460</v>
      </c>
      <c r="B16" s="7">
        <v>2120</v>
      </c>
      <c r="C16" s="7">
        <v>2085</v>
      </c>
      <c r="D16" s="7">
        <v>9</v>
      </c>
      <c r="F16" s="11">
        <f>GETPIVOTDATA("Sum of TENDIK",$A$4,"Distribusi","SABANDAR 2")</f>
        <v>2085</v>
      </c>
      <c r="G16" s="30" t="s">
        <v>460</v>
      </c>
      <c r="H16" s="9">
        <v>1103</v>
      </c>
      <c r="I16" s="9">
        <v>1173</v>
      </c>
      <c r="J16" s="11">
        <f t="shared" si="0"/>
        <v>3258</v>
      </c>
    </row>
    <row r="17" spans="1:11">
      <c r="A17" s="8" t="s">
        <v>424</v>
      </c>
      <c r="B17" s="7">
        <v>2065</v>
      </c>
      <c r="C17" s="7">
        <v>2158</v>
      </c>
      <c r="D17" s="7">
        <v>15</v>
      </c>
      <c r="E17" t="s">
        <v>514</v>
      </c>
      <c r="F17" s="11">
        <f>GETPIVOTDATA("Sum of TENDIK",$A$4,"Distribusi","SINDANGASIH")</f>
        <v>2158</v>
      </c>
      <c r="G17" s="30" t="s">
        <v>424</v>
      </c>
      <c r="H17" s="9">
        <v>1118</v>
      </c>
      <c r="I17" s="9">
        <v>1158</v>
      </c>
      <c r="J17" s="11">
        <f>F17+I17+K17+L17</f>
        <v>3316</v>
      </c>
    </row>
    <row r="18" spans="1:11">
      <c r="A18" s="8" t="s">
        <v>468</v>
      </c>
      <c r="B18" s="7">
        <v>1913</v>
      </c>
      <c r="C18" s="7">
        <v>2032</v>
      </c>
      <c r="D18" s="7">
        <v>10</v>
      </c>
      <c r="F18" s="11">
        <f>GETPIVOTDATA("Sum of TENDIK",$A$4,"Distribusi","SINDANGLAKA 1")</f>
        <v>2032</v>
      </c>
      <c r="G18" s="30" t="s">
        <v>468</v>
      </c>
      <c r="H18" s="9">
        <v>465</v>
      </c>
      <c r="I18" s="9">
        <v>465</v>
      </c>
      <c r="J18" s="11">
        <f t="shared" si="0"/>
        <v>2497</v>
      </c>
    </row>
    <row r="19" spans="1:11">
      <c r="A19" s="8" t="s">
        <v>462</v>
      </c>
      <c r="B19" s="7">
        <v>2159</v>
      </c>
      <c r="C19" s="7">
        <v>2338</v>
      </c>
      <c r="D19" s="7">
        <v>10</v>
      </c>
      <c r="F19" s="11">
        <f>GETPIVOTDATA("Sum of TENDIK",$A$4,"Distribusi","SINDANGLAKA 2")</f>
        <v>2338</v>
      </c>
      <c r="G19" s="30" t="s">
        <v>462</v>
      </c>
      <c r="H19" s="9">
        <v>515</v>
      </c>
      <c r="I19" s="9">
        <v>529</v>
      </c>
      <c r="J19" s="11">
        <f t="shared" si="0"/>
        <v>2867</v>
      </c>
    </row>
    <row r="20" spans="1:11">
      <c r="A20" s="8" t="s">
        <v>461</v>
      </c>
      <c r="B20" s="7">
        <v>2260</v>
      </c>
      <c r="C20" s="7">
        <v>2406</v>
      </c>
      <c r="D20" s="7">
        <v>17</v>
      </c>
      <c r="F20" s="11">
        <f>GETPIVOTDATA("Sum of TENDIK",$A$4,"Distribusi","SINDANGLAKA 3")</f>
        <v>2406</v>
      </c>
      <c r="G20" s="30" t="s">
        <v>461</v>
      </c>
      <c r="H20" s="9">
        <v>587</v>
      </c>
      <c r="I20" s="9">
        <v>587</v>
      </c>
      <c r="J20" s="11">
        <f t="shared" si="0"/>
        <v>2993</v>
      </c>
    </row>
    <row r="21" spans="1:11">
      <c r="A21" s="8" t="s">
        <v>469</v>
      </c>
      <c r="B21" s="7">
        <v>1947</v>
      </c>
      <c r="C21" s="7">
        <v>2061</v>
      </c>
      <c r="D21" s="7">
        <v>16</v>
      </c>
      <c r="E21" t="s">
        <v>513</v>
      </c>
      <c r="F21" s="11">
        <f>GETPIVOTDATA("Sum of TENDIK",$A$4,"Distribusi","SINDANGLAKA 4")</f>
        <v>2061</v>
      </c>
      <c r="G21" s="30" t="s">
        <v>469</v>
      </c>
      <c r="H21" s="9">
        <v>775</v>
      </c>
      <c r="I21" s="9">
        <v>775</v>
      </c>
      <c r="J21" s="11">
        <f t="shared" si="0"/>
        <v>2836</v>
      </c>
    </row>
    <row r="22" spans="1:11">
      <c r="A22" s="8" t="s">
        <v>417</v>
      </c>
      <c r="B22" s="7">
        <v>2389</v>
      </c>
      <c r="C22" s="7">
        <v>2523</v>
      </c>
      <c r="D22" s="7">
        <v>11</v>
      </c>
      <c r="F22" s="11">
        <f>GETPIVOTDATA("Sum of TENDIK",$A$4,"Distribusi","SUKAJADI")</f>
        <v>2523</v>
      </c>
      <c r="G22" s="30" t="s">
        <v>417</v>
      </c>
      <c r="H22" s="9">
        <v>641</v>
      </c>
      <c r="I22" s="9">
        <v>641</v>
      </c>
      <c r="J22" s="11">
        <f t="shared" si="0"/>
        <v>3164</v>
      </c>
    </row>
    <row r="23" spans="1:11">
      <c r="A23" s="8" t="s">
        <v>418</v>
      </c>
      <c r="B23" s="7">
        <v>2255</v>
      </c>
      <c r="C23" s="7">
        <v>2317</v>
      </c>
      <c r="D23" s="7">
        <v>16</v>
      </c>
      <c r="F23" s="11">
        <f>GETPIVOTDATA("Sum of TENDIK",$A$4,"Distribusi","SUKAMANTRI")</f>
        <v>2317</v>
      </c>
      <c r="G23" s="30" t="s">
        <v>418</v>
      </c>
      <c r="H23" s="9">
        <v>616</v>
      </c>
      <c r="I23" s="9">
        <v>616</v>
      </c>
      <c r="J23" s="11">
        <f t="shared" si="0"/>
        <v>2933</v>
      </c>
    </row>
    <row r="24" spans="1:11">
      <c r="A24" s="8" t="s">
        <v>427</v>
      </c>
      <c r="B24" s="7">
        <v>2401</v>
      </c>
      <c r="C24" s="7">
        <v>2484</v>
      </c>
      <c r="D24" s="7">
        <v>13</v>
      </c>
      <c r="F24" s="11">
        <f>GETPIVOTDATA("Sum of TENDIK",$A$4,"Distribusi","SUKASARI")</f>
        <v>2484</v>
      </c>
      <c r="G24" s="30" t="s">
        <v>427</v>
      </c>
      <c r="H24" s="9">
        <v>815</v>
      </c>
      <c r="I24" s="9">
        <v>860</v>
      </c>
      <c r="J24" s="11">
        <f t="shared" si="0"/>
        <v>3360</v>
      </c>
      <c r="K24">
        <v>16</v>
      </c>
    </row>
    <row r="25" spans="1:11">
      <c r="A25" s="8" t="s">
        <v>414</v>
      </c>
      <c r="B25" s="7">
        <v>2276</v>
      </c>
      <c r="C25" s="7">
        <v>2223</v>
      </c>
      <c r="D25" s="7">
        <v>18</v>
      </c>
      <c r="F25" s="11">
        <f>GETPIVOTDATA("Sum of TENDIK",$A$4,"Distribusi","SUKATARIS")</f>
        <v>2223</v>
      </c>
      <c r="G25" s="30" t="s">
        <v>414</v>
      </c>
      <c r="H25" s="9">
        <v>568</v>
      </c>
      <c r="I25" s="9">
        <v>607</v>
      </c>
      <c r="J25" s="11">
        <f t="shared" si="0"/>
        <v>2830</v>
      </c>
    </row>
    <row r="26" spans="1:11">
      <c r="A26" s="8" t="s">
        <v>488</v>
      </c>
      <c r="B26" s="7"/>
      <c r="C26" s="7"/>
      <c r="D26" s="7">
        <v>19</v>
      </c>
      <c r="F26" s="11"/>
      <c r="G26" s="11"/>
      <c r="H26" s="11"/>
      <c r="I26" s="11"/>
      <c r="J26" s="11">
        <f>SUM(J5:J25)</f>
        <v>62754</v>
      </c>
    </row>
    <row r="27" spans="1:11">
      <c r="A27" s="8" t="s">
        <v>429</v>
      </c>
      <c r="B27" s="7">
        <v>45218</v>
      </c>
      <c r="C27" s="7">
        <v>47417</v>
      </c>
      <c r="D27" s="7">
        <v>313</v>
      </c>
    </row>
    <row r="28" spans="1:11">
      <c r="C28" s="7">
        <v>14691</v>
      </c>
    </row>
    <row r="29" spans="1:11">
      <c r="C29">
        <f>C28+GETPIVOTDATA("Sum of TENDIK",$A$4)</f>
        <v>62108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topLeftCell="A4" zoomScaleNormal="100" workbookViewId="0">
      <selection activeCell="E23" sqref="E23"/>
    </sheetView>
  </sheetViews>
  <sheetFormatPr defaultRowHeight="15"/>
  <cols>
    <col min="1" max="1" width="15.5703125" customWidth="1"/>
    <col min="2" max="2" width="19" bestFit="1" customWidth="1"/>
    <col min="3" max="3" width="14.140625" bestFit="1" customWidth="1"/>
    <col min="4" max="4" width="22" bestFit="1" customWidth="1"/>
    <col min="5" max="5" width="22" style="44" customWidth="1"/>
    <col min="6" max="6" width="5" bestFit="1" customWidth="1"/>
    <col min="7" max="7" width="15.85546875" bestFit="1" customWidth="1"/>
    <col min="8" max="8" width="10.7109375" bestFit="1" customWidth="1"/>
    <col min="9" max="9" width="6.5703125" bestFit="1" customWidth="1"/>
  </cols>
  <sheetData>
    <row r="1" spans="1:15">
      <c r="A1" s="26" t="s">
        <v>3</v>
      </c>
      <c r="B1" s="65" t="s">
        <v>490</v>
      </c>
    </row>
    <row r="3" spans="1:15">
      <c r="A3" s="26" t="s">
        <v>428</v>
      </c>
      <c r="B3" s="65" t="s">
        <v>489</v>
      </c>
      <c r="C3" s="65" t="s">
        <v>495</v>
      </c>
      <c r="D3" s="65" t="s">
        <v>430</v>
      </c>
      <c r="F3" s="46"/>
      <c r="G3" s="4" t="s">
        <v>496</v>
      </c>
      <c r="H3" s="3" t="s">
        <v>520</v>
      </c>
      <c r="I3" s="3" t="s">
        <v>521</v>
      </c>
    </row>
    <row r="4" spans="1:15">
      <c r="A4" s="8" t="s">
        <v>439</v>
      </c>
      <c r="B4" s="7">
        <v>2273</v>
      </c>
      <c r="C4" s="7">
        <v>2372</v>
      </c>
      <c r="D4" s="7">
        <v>15</v>
      </c>
      <c r="E4" s="7"/>
      <c r="F4" s="70">
        <v>830</v>
      </c>
      <c r="G4" s="63" t="s">
        <v>439</v>
      </c>
      <c r="H4" s="55">
        <f>GETPIVOTDATA("Sum of TENDIK",$A$3,"Distribusi April",G4)</f>
        <v>2372</v>
      </c>
      <c r="I4" s="55">
        <f>H4+F4</f>
        <v>3202</v>
      </c>
      <c r="M4">
        <v>830</v>
      </c>
      <c r="N4">
        <f>M4+M5+M7</f>
        <v>1278</v>
      </c>
      <c r="O4">
        <f>N4/3</f>
        <v>426</v>
      </c>
    </row>
    <row r="5" spans="1:15">
      <c r="A5" s="8" t="s">
        <v>434</v>
      </c>
      <c r="B5" s="7">
        <v>2424</v>
      </c>
      <c r="C5" s="7">
        <v>2500</v>
      </c>
      <c r="D5" s="7">
        <v>6</v>
      </c>
      <c r="E5" s="7"/>
      <c r="F5" s="70">
        <v>248</v>
      </c>
      <c r="G5" s="63" t="s">
        <v>434</v>
      </c>
      <c r="H5" s="55">
        <f t="shared" ref="H5:H28" si="0">GETPIVOTDATA("Sum of TENDIK",$A$3,"Distribusi April",G5)</f>
        <v>2500</v>
      </c>
      <c r="I5" s="55">
        <f t="shared" ref="I5:I28" si="1">H5+F5</f>
        <v>2748</v>
      </c>
      <c r="M5">
        <v>248</v>
      </c>
    </row>
    <row r="6" spans="1:15">
      <c r="A6" s="8" t="s">
        <v>435</v>
      </c>
      <c r="B6" s="7">
        <v>1999</v>
      </c>
      <c r="C6" s="7">
        <v>2008</v>
      </c>
      <c r="D6" s="7">
        <v>11</v>
      </c>
      <c r="E6" s="7"/>
      <c r="F6" s="50">
        <v>643</v>
      </c>
      <c r="G6" s="30" t="s">
        <v>435</v>
      </c>
      <c r="H6" s="46">
        <f t="shared" si="0"/>
        <v>2008</v>
      </c>
      <c r="I6" s="46">
        <f t="shared" si="1"/>
        <v>2651</v>
      </c>
      <c r="M6">
        <v>609</v>
      </c>
    </row>
    <row r="7" spans="1:15">
      <c r="A7" s="8" t="s">
        <v>442</v>
      </c>
      <c r="B7" s="7">
        <v>1965</v>
      </c>
      <c r="C7" s="7">
        <v>2081</v>
      </c>
      <c r="D7" s="7">
        <v>13</v>
      </c>
      <c r="E7" s="7"/>
      <c r="F7" s="50">
        <v>409</v>
      </c>
      <c r="G7" s="30" t="s">
        <v>442</v>
      </c>
      <c r="H7" s="46">
        <f t="shared" si="0"/>
        <v>2081</v>
      </c>
      <c r="I7" s="46">
        <f t="shared" si="1"/>
        <v>2490</v>
      </c>
      <c r="J7" s="69">
        <v>57</v>
      </c>
      <c r="K7" s="69">
        <v>67</v>
      </c>
      <c r="L7" s="69">
        <v>76</v>
      </c>
      <c r="M7">
        <f>SUM(J7:L7)</f>
        <v>200</v>
      </c>
    </row>
    <row r="8" spans="1:15">
      <c r="A8" s="8" t="s">
        <v>465</v>
      </c>
      <c r="B8" s="7">
        <v>782</v>
      </c>
      <c r="C8" s="7">
        <v>1691</v>
      </c>
      <c r="D8" s="7">
        <v>8</v>
      </c>
      <c r="E8" s="7"/>
      <c r="F8" s="70">
        <v>506</v>
      </c>
      <c r="G8" s="30" t="s">
        <v>465</v>
      </c>
      <c r="H8" s="46">
        <f t="shared" si="0"/>
        <v>1691</v>
      </c>
      <c r="I8" s="46">
        <f t="shared" si="1"/>
        <v>2197</v>
      </c>
    </row>
    <row r="9" spans="1:15">
      <c r="A9" s="8" t="s">
        <v>441</v>
      </c>
      <c r="B9" s="7">
        <v>1568</v>
      </c>
      <c r="C9" s="7">
        <v>1817</v>
      </c>
      <c r="D9" s="7">
        <v>19</v>
      </c>
      <c r="E9" s="7"/>
      <c r="F9" s="50">
        <v>426</v>
      </c>
      <c r="G9" s="30" t="s">
        <v>441</v>
      </c>
      <c r="H9" s="46">
        <f t="shared" si="0"/>
        <v>1817</v>
      </c>
      <c r="I9" s="46">
        <f t="shared" si="1"/>
        <v>2243</v>
      </c>
    </row>
    <row r="10" spans="1:15">
      <c r="A10" s="8" t="s">
        <v>464</v>
      </c>
      <c r="B10" s="7">
        <v>2085</v>
      </c>
      <c r="C10" s="7">
        <v>1739</v>
      </c>
      <c r="D10" s="7">
        <v>13</v>
      </c>
      <c r="E10" s="7"/>
      <c r="F10" s="50">
        <v>576</v>
      </c>
      <c r="G10" s="30" t="s">
        <v>464</v>
      </c>
      <c r="H10" s="46">
        <f t="shared" si="0"/>
        <v>1739</v>
      </c>
      <c r="I10" s="46">
        <f t="shared" si="1"/>
        <v>2315</v>
      </c>
    </row>
    <row r="11" spans="1:15">
      <c r="A11" s="8" t="s">
        <v>440</v>
      </c>
      <c r="B11" s="7">
        <v>1447</v>
      </c>
      <c r="C11" s="7">
        <v>1564</v>
      </c>
      <c r="D11" s="7">
        <v>10</v>
      </c>
      <c r="E11" s="7"/>
      <c r="F11" s="50">
        <v>1188</v>
      </c>
      <c r="G11" s="30" t="s">
        <v>440</v>
      </c>
      <c r="H11" s="46">
        <f t="shared" si="0"/>
        <v>1564</v>
      </c>
      <c r="I11" s="46">
        <f t="shared" si="1"/>
        <v>2752</v>
      </c>
    </row>
    <row r="12" spans="1:15">
      <c r="A12" s="8" t="s">
        <v>431</v>
      </c>
      <c r="B12" s="7">
        <v>1830</v>
      </c>
      <c r="C12" s="7">
        <v>1977</v>
      </c>
      <c r="D12" s="7">
        <v>11</v>
      </c>
      <c r="E12" s="7"/>
      <c r="F12" s="50">
        <v>996</v>
      </c>
      <c r="G12" s="30" t="s">
        <v>431</v>
      </c>
      <c r="H12" s="46">
        <f t="shared" si="0"/>
        <v>1977</v>
      </c>
      <c r="I12" s="46">
        <f t="shared" si="1"/>
        <v>2973</v>
      </c>
    </row>
    <row r="13" spans="1:15">
      <c r="A13" s="8" t="s">
        <v>443</v>
      </c>
      <c r="B13" s="7">
        <v>2862</v>
      </c>
      <c r="C13" s="7">
        <v>2628</v>
      </c>
      <c r="D13" s="7">
        <v>25</v>
      </c>
      <c r="E13" s="7"/>
      <c r="F13" s="50">
        <v>445</v>
      </c>
      <c r="G13" s="30" t="s">
        <v>443</v>
      </c>
      <c r="H13" s="46">
        <f t="shared" si="0"/>
        <v>2628</v>
      </c>
      <c r="I13" s="46">
        <f t="shared" si="1"/>
        <v>3073</v>
      </c>
    </row>
    <row r="14" spans="1:15">
      <c r="A14" s="8" t="s">
        <v>415</v>
      </c>
      <c r="B14" s="7">
        <v>1788</v>
      </c>
      <c r="C14" s="7">
        <v>1926</v>
      </c>
      <c r="D14" s="7">
        <v>12</v>
      </c>
      <c r="E14" s="7"/>
      <c r="F14" s="50">
        <v>996</v>
      </c>
      <c r="G14" s="30" t="s">
        <v>517</v>
      </c>
      <c r="H14" s="46">
        <f>GETPIVOTDATA("Sum of TENDIK",$A$3,"Distribusi April","MALEBER")</f>
        <v>1926</v>
      </c>
      <c r="I14" s="46">
        <f t="shared" si="1"/>
        <v>2922</v>
      </c>
    </row>
    <row r="15" spans="1:15">
      <c r="A15" s="8" t="s">
        <v>460</v>
      </c>
      <c r="B15" s="7">
        <v>2120</v>
      </c>
      <c r="C15" s="7">
        <v>2085</v>
      </c>
      <c r="D15" s="7">
        <v>9</v>
      </c>
      <c r="E15" s="7"/>
      <c r="F15" s="51">
        <v>1198</v>
      </c>
      <c r="G15" s="49" t="s">
        <v>460</v>
      </c>
      <c r="H15" s="14">
        <f t="shared" si="0"/>
        <v>2085</v>
      </c>
      <c r="I15" s="14">
        <f t="shared" si="1"/>
        <v>3283</v>
      </c>
    </row>
    <row r="16" spans="1:15">
      <c r="A16" s="8" t="s">
        <v>424</v>
      </c>
      <c r="B16" s="7">
        <v>1718</v>
      </c>
      <c r="C16" s="7">
        <v>1775</v>
      </c>
      <c r="D16" s="7">
        <v>13</v>
      </c>
      <c r="E16" s="7"/>
      <c r="F16" s="50">
        <v>575</v>
      </c>
      <c r="G16" s="30" t="s">
        <v>424</v>
      </c>
      <c r="H16" s="46">
        <f t="shared" si="0"/>
        <v>1775</v>
      </c>
      <c r="I16" s="46">
        <f t="shared" si="1"/>
        <v>2350</v>
      </c>
    </row>
    <row r="17" spans="1:9">
      <c r="A17" s="8" t="s">
        <v>516</v>
      </c>
      <c r="B17" s="7">
        <v>1290</v>
      </c>
      <c r="C17" s="7">
        <v>1247</v>
      </c>
      <c r="D17" s="7">
        <v>10</v>
      </c>
      <c r="E17" s="7"/>
      <c r="F17" s="62">
        <v>562</v>
      </c>
      <c r="G17" s="63" t="s">
        <v>516</v>
      </c>
      <c r="H17" s="55">
        <f t="shared" si="0"/>
        <v>1247</v>
      </c>
      <c r="I17" s="55">
        <f t="shared" si="1"/>
        <v>1809</v>
      </c>
    </row>
    <row r="18" spans="1:9">
      <c r="A18" s="8" t="s">
        <v>468</v>
      </c>
      <c r="B18" s="7">
        <v>1913</v>
      </c>
      <c r="C18" s="7">
        <v>2032</v>
      </c>
      <c r="D18" s="7">
        <v>10</v>
      </c>
      <c r="E18" s="7"/>
      <c r="F18" s="50">
        <v>489</v>
      </c>
      <c r="G18" s="30" t="s">
        <v>468</v>
      </c>
      <c r="H18" s="46">
        <f t="shared" si="0"/>
        <v>2032</v>
      </c>
      <c r="I18" s="46">
        <f t="shared" si="1"/>
        <v>2521</v>
      </c>
    </row>
    <row r="19" spans="1:9">
      <c r="A19" s="8" t="s">
        <v>462</v>
      </c>
      <c r="B19" s="7">
        <v>2159</v>
      </c>
      <c r="C19" s="7">
        <v>2338</v>
      </c>
      <c r="D19" s="7">
        <v>10</v>
      </c>
      <c r="E19" s="7"/>
      <c r="F19" s="50">
        <v>430</v>
      </c>
      <c r="G19" s="30" t="s">
        <v>462</v>
      </c>
      <c r="H19" s="46">
        <f t="shared" si="0"/>
        <v>2338</v>
      </c>
      <c r="I19" s="46">
        <f t="shared" si="1"/>
        <v>2768</v>
      </c>
    </row>
    <row r="20" spans="1:9">
      <c r="A20" s="8" t="s">
        <v>461</v>
      </c>
      <c r="B20" s="7">
        <v>2260</v>
      </c>
      <c r="C20" s="7">
        <v>2406</v>
      </c>
      <c r="D20" s="7">
        <v>17</v>
      </c>
      <c r="E20" s="7"/>
      <c r="F20" s="50">
        <v>689</v>
      </c>
      <c r="G20" s="30" t="s">
        <v>461</v>
      </c>
      <c r="H20" s="46">
        <f t="shared" si="0"/>
        <v>2406</v>
      </c>
      <c r="I20" s="46">
        <f t="shared" si="1"/>
        <v>3095</v>
      </c>
    </row>
    <row r="21" spans="1:9">
      <c r="A21" s="8" t="s">
        <v>469</v>
      </c>
      <c r="B21" s="7">
        <v>1895</v>
      </c>
      <c r="C21" s="7">
        <v>2003</v>
      </c>
      <c r="D21" s="7">
        <v>15</v>
      </c>
      <c r="E21" s="7"/>
      <c r="F21" s="50">
        <v>863</v>
      </c>
      <c r="G21" s="30" t="s">
        <v>469</v>
      </c>
      <c r="H21" s="46">
        <f t="shared" si="0"/>
        <v>2003</v>
      </c>
      <c r="I21" s="46">
        <f t="shared" si="1"/>
        <v>2866</v>
      </c>
    </row>
    <row r="22" spans="1:9">
      <c r="A22" s="8" t="s">
        <v>518</v>
      </c>
      <c r="B22" s="7">
        <v>872</v>
      </c>
      <c r="C22" s="7">
        <v>986</v>
      </c>
      <c r="D22" s="7">
        <v>8</v>
      </c>
      <c r="E22" s="7"/>
      <c r="F22" s="52"/>
      <c r="G22" s="30" t="s">
        <v>518</v>
      </c>
      <c r="H22" s="46">
        <f t="shared" si="0"/>
        <v>986</v>
      </c>
      <c r="I22" s="46">
        <f t="shared" si="1"/>
        <v>986</v>
      </c>
    </row>
    <row r="23" spans="1:9">
      <c r="A23" s="8" t="s">
        <v>417</v>
      </c>
      <c r="B23" s="7">
        <v>2135</v>
      </c>
      <c r="C23" s="7">
        <v>2259</v>
      </c>
      <c r="D23" s="7">
        <v>10</v>
      </c>
      <c r="E23" s="7"/>
      <c r="F23" s="50">
        <v>641</v>
      </c>
      <c r="G23" s="30" t="s">
        <v>417</v>
      </c>
      <c r="H23" s="46">
        <f t="shared" si="0"/>
        <v>2259</v>
      </c>
      <c r="I23" s="46">
        <f t="shared" si="1"/>
        <v>2900</v>
      </c>
    </row>
    <row r="24" spans="1:9">
      <c r="A24" s="8" t="s">
        <v>420</v>
      </c>
      <c r="B24" s="7">
        <v>868</v>
      </c>
      <c r="C24" s="7">
        <v>948</v>
      </c>
      <c r="D24" s="7">
        <v>3</v>
      </c>
      <c r="E24" s="7"/>
      <c r="F24" s="52"/>
      <c r="G24" s="30" t="s">
        <v>420</v>
      </c>
      <c r="H24" s="46">
        <f t="shared" si="0"/>
        <v>948</v>
      </c>
      <c r="I24" s="46">
        <f t="shared" si="1"/>
        <v>948</v>
      </c>
    </row>
    <row r="25" spans="1:9">
      <c r="A25" s="8" t="s">
        <v>418</v>
      </c>
      <c r="B25" s="7">
        <v>1771</v>
      </c>
      <c r="C25" s="7">
        <v>1792</v>
      </c>
      <c r="D25" s="7">
        <v>10</v>
      </c>
      <c r="E25" s="7"/>
      <c r="F25" s="50">
        <v>616</v>
      </c>
      <c r="G25" s="4" t="s">
        <v>418</v>
      </c>
      <c r="H25" s="46">
        <f t="shared" si="0"/>
        <v>1792</v>
      </c>
      <c r="I25" s="46">
        <f t="shared" si="1"/>
        <v>2408</v>
      </c>
    </row>
    <row r="26" spans="1:9">
      <c r="A26" s="8" t="s">
        <v>519</v>
      </c>
      <c r="B26" s="7">
        <v>1149</v>
      </c>
      <c r="C26" s="7">
        <v>1213</v>
      </c>
      <c r="D26" s="7">
        <v>9</v>
      </c>
      <c r="E26" s="7"/>
      <c r="F26" s="52"/>
      <c r="G26" s="4" t="s">
        <v>519</v>
      </c>
      <c r="H26" s="46">
        <f t="shared" si="0"/>
        <v>1213</v>
      </c>
      <c r="I26" s="46">
        <f t="shared" si="1"/>
        <v>1213</v>
      </c>
    </row>
    <row r="27" spans="1:9">
      <c r="A27" s="8" t="s">
        <v>427</v>
      </c>
      <c r="B27" s="7">
        <v>1815</v>
      </c>
      <c r="C27" s="7">
        <v>1889</v>
      </c>
      <c r="D27" s="7">
        <v>10</v>
      </c>
      <c r="E27" s="7"/>
      <c r="F27" s="50">
        <v>905</v>
      </c>
      <c r="G27" s="4" t="s">
        <v>427</v>
      </c>
      <c r="H27" s="46">
        <f t="shared" si="0"/>
        <v>1889</v>
      </c>
      <c r="I27" s="46">
        <f t="shared" si="1"/>
        <v>2794</v>
      </c>
    </row>
    <row r="28" spans="1:9">
      <c r="A28" s="8" t="s">
        <v>414</v>
      </c>
      <c r="B28" s="7">
        <v>2276</v>
      </c>
      <c r="C28" s="7">
        <v>2223</v>
      </c>
      <c r="D28" s="7">
        <v>18</v>
      </c>
      <c r="E28" s="7"/>
      <c r="F28" s="50">
        <v>591</v>
      </c>
      <c r="G28" s="4" t="s">
        <v>414</v>
      </c>
      <c r="H28" s="46">
        <f t="shared" si="0"/>
        <v>2223</v>
      </c>
      <c r="I28" s="46">
        <f t="shared" si="1"/>
        <v>2814</v>
      </c>
    </row>
    <row r="29" spans="1:9">
      <c r="A29" s="8" t="s">
        <v>488</v>
      </c>
      <c r="B29" s="7">
        <v>56</v>
      </c>
      <c r="C29" s="7">
        <v>56</v>
      </c>
      <c r="D29" s="7">
        <v>21</v>
      </c>
      <c r="E29" s="7"/>
    </row>
    <row r="30" spans="1:9">
      <c r="A30" s="8" t="s">
        <v>429</v>
      </c>
      <c r="B30" s="7">
        <v>45320</v>
      </c>
      <c r="C30" s="7">
        <v>47555</v>
      </c>
      <c r="D30" s="7">
        <v>316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330"/>
  <sheetViews>
    <sheetView zoomScale="115" zoomScaleNormal="11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333" sqref="D333"/>
    </sheetView>
  </sheetViews>
  <sheetFormatPr defaultRowHeight="15"/>
  <cols>
    <col min="1" max="1" width="5.85546875" style="11" bestFit="1" customWidth="1"/>
    <col min="2" max="2" width="45.85546875" style="11" bestFit="1" customWidth="1"/>
    <col min="3" max="3" width="8.7109375" style="29" bestFit="1" customWidth="1"/>
    <col min="4" max="4" width="14.7109375" style="10" bestFit="1" customWidth="1"/>
    <col min="5" max="5" width="7.85546875" style="10" bestFit="1" customWidth="1"/>
    <col min="6" max="6" width="14.7109375" style="11" bestFit="1" customWidth="1"/>
    <col min="7" max="7" width="18.85546875" style="11" bestFit="1" customWidth="1"/>
    <col min="8" max="8" width="8.7109375" style="11" bestFit="1" customWidth="1"/>
    <col min="9" max="9" width="5.7109375" style="11" bestFit="1" customWidth="1"/>
    <col min="10" max="10" width="14.5703125" style="11" bestFit="1" customWidth="1"/>
    <col min="11" max="11" width="9.7109375" style="11" bestFit="1" customWidth="1"/>
    <col min="12" max="13" width="16.85546875" style="11" bestFit="1" customWidth="1"/>
    <col min="14" max="14" width="16.85546875" style="46" bestFit="1" customWidth="1"/>
    <col min="15" max="16384" width="9.140625" style="11"/>
  </cols>
  <sheetData>
    <row r="1" spans="1:14">
      <c r="A1" s="1" t="s">
        <v>0</v>
      </c>
      <c r="B1" s="1" t="s">
        <v>1</v>
      </c>
      <c r="C1" s="4" t="s">
        <v>499</v>
      </c>
      <c r="D1" s="16" t="s">
        <v>2</v>
      </c>
      <c r="E1" s="16" t="s">
        <v>3</v>
      </c>
      <c r="F1" s="4" t="s">
        <v>413</v>
      </c>
      <c r="G1" s="4" t="s">
        <v>385</v>
      </c>
      <c r="H1" s="1" t="s">
        <v>4</v>
      </c>
      <c r="I1" s="1" t="s">
        <v>5</v>
      </c>
      <c r="J1" s="1" t="s">
        <v>257</v>
      </c>
      <c r="K1" s="1" t="s">
        <v>412</v>
      </c>
      <c r="L1" s="1" t="s">
        <v>258</v>
      </c>
      <c r="M1" s="1" t="s">
        <v>259</v>
      </c>
      <c r="N1" s="1" t="s">
        <v>515</v>
      </c>
    </row>
    <row r="2" spans="1:14" ht="15" hidden="1" customHeight="1">
      <c r="A2" s="2">
        <v>1</v>
      </c>
      <c r="B2" s="11" t="s">
        <v>6</v>
      </c>
      <c r="D2" s="17">
        <v>20257296</v>
      </c>
      <c r="E2" s="10" t="s">
        <v>7</v>
      </c>
      <c r="F2" s="3" t="s">
        <v>386</v>
      </c>
      <c r="G2" s="5" t="s">
        <v>414</v>
      </c>
      <c r="H2" s="11" t="s">
        <v>8</v>
      </c>
      <c r="I2" s="2">
        <v>8</v>
      </c>
      <c r="J2" s="2">
        <v>8</v>
      </c>
      <c r="K2" s="2">
        <v>8</v>
      </c>
      <c r="L2" s="11" t="s">
        <v>494</v>
      </c>
      <c r="M2" s="11" t="s">
        <v>414</v>
      </c>
      <c r="N2" s="46" t="s">
        <v>414</v>
      </c>
    </row>
    <row r="3" spans="1:14" ht="15" hidden="1" customHeight="1">
      <c r="A3" s="2">
        <v>2</v>
      </c>
      <c r="B3" s="11" t="s">
        <v>9</v>
      </c>
      <c r="D3" s="17">
        <v>69908414</v>
      </c>
      <c r="E3" s="10" t="s">
        <v>7</v>
      </c>
      <c r="F3" s="3" t="s">
        <v>386</v>
      </c>
      <c r="G3" s="5" t="s">
        <v>415</v>
      </c>
      <c r="H3" s="11" t="s">
        <v>8</v>
      </c>
      <c r="I3" s="2">
        <v>27</v>
      </c>
      <c r="J3" s="2">
        <v>28</v>
      </c>
      <c r="K3" s="2">
        <v>32</v>
      </c>
      <c r="L3" s="11" t="s">
        <v>415</v>
      </c>
      <c r="M3" s="11" t="s">
        <v>415</v>
      </c>
      <c r="N3" s="46" t="s">
        <v>415</v>
      </c>
    </row>
    <row r="4" spans="1:14" ht="15" hidden="1" customHeight="1">
      <c r="A4" s="2">
        <v>3</v>
      </c>
      <c r="B4" s="55" t="s">
        <v>10</v>
      </c>
      <c r="C4" s="42"/>
      <c r="D4" s="17">
        <v>20255306</v>
      </c>
      <c r="E4" s="10" t="s">
        <v>7</v>
      </c>
      <c r="F4" s="3" t="s">
        <v>386</v>
      </c>
      <c r="G4" s="5" t="s">
        <v>320</v>
      </c>
      <c r="H4" s="11" t="s">
        <v>8</v>
      </c>
      <c r="I4" s="2">
        <v>50</v>
      </c>
      <c r="J4" s="2">
        <v>52</v>
      </c>
      <c r="K4" s="2">
        <v>57</v>
      </c>
      <c r="L4" s="11" t="s">
        <v>439</v>
      </c>
      <c r="M4" s="3" t="s">
        <v>439</v>
      </c>
      <c r="N4" s="3" t="s">
        <v>439</v>
      </c>
    </row>
    <row r="5" spans="1:14" ht="15" hidden="1" customHeight="1">
      <c r="A5" s="2">
        <v>4</v>
      </c>
      <c r="B5" s="11" t="s">
        <v>11</v>
      </c>
      <c r="D5" s="17">
        <v>20255323</v>
      </c>
      <c r="E5" s="10" t="s">
        <v>7</v>
      </c>
      <c r="F5" s="3" t="s">
        <v>386</v>
      </c>
      <c r="G5" s="5" t="s">
        <v>415</v>
      </c>
      <c r="H5" s="11" t="s">
        <v>8</v>
      </c>
      <c r="I5" s="2">
        <v>34</v>
      </c>
      <c r="J5" s="2">
        <v>34</v>
      </c>
      <c r="K5" s="2">
        <v>34</v>
      </c>
      <c r="L5" s="11" t="s">
        <v>491</v>
      </c>
      <c r="M5" s="11" t="s">
        <v>491</v>
      </c>
      <c r="N5" s="46" t="s">
        <v>491</v>
      </c>
    </row>
    <row r="6" spans="1:14" ht="15" hidden="1" customHeight="1">
      <c r="A6" s="60">
        <v>5</v>
      </c>
      <c r="B6" s="55" t="s">
        <v>12</v>
      </c>
      <c r="C6" s="55"/>
      <c r="D6" s="57">
        <v>69880598</v>
      </c>
      <c r="E6" s="58" t="s">
        <v>7</v>
      </c>
      <c r="F6" s="56" t="s">
        <v>386</v>
      </c>
      <c r="G6" s="59" t="s">
        <v>320</v>
      </c>
      <c r="H6" s="55" t="s">
        <v>8</v>
      </c>
      <c r="I6" s="60">
        <v>57</v>
      </c>
      <c r="J6" s="60">
        <v>57</v>
      </c>
      <c r="K6" s="60">
        <v>67</v>
      </c>
      <c r="L6" s="56" t="s">
        <v>442</v>
      </c>
      <c r="M6" s="56" t="s">
        <v>439</v>
      </c>
      <c r="N6" s="56" t="s">
        <v>442</v>
      </c>
    </row>
    <row r="7" spans="1:14" ht="15" hidden="1" customHeight="1">
      <c r="A7" s="60">
        <v>6</v>
      </c>
      <c r="B7" s="55" t="s">
        <v>13</v>
      </c>
      <c r="C7" s="55"/>
      <c r="D7" s="57">
        <v>69908419</v>
      </c>
      <c r="E7" s="58" t="s">
        <v>7</v>
      </c>
      <c r="F7" s="56" t="s">
        <v>386</v>
      </c>
      <c r="G7" s="59" t="s">
        <v>349</v>
      </c>
      <c r="H7" s="55" t="s">
        <v>8</v>
      </c>
      <c r="I7" s="60">
        <v>32</v>
      </c>
      <c r="J7" s="60">
        <v>32</v>
      </c>
      <c r="K7" s="60">
        <v>38</v>
      </c>
      <c r="L7" s="56" t="s">
        <v>442</v>
      </c>
      <c r="M7" s="56" t="s">
        <v>442</v>
      </c>
      <c r="N7" s="56" t="s">
        <v>442</v>
      </c>
    </row>
    <row r="8" spans="1:14" ht="15" hidden="1" customHeight="1">
      <c r="A8" s="2">
        <v>7</v>
      </c>
      <c r="B8" s="11" t="s">
        <v>14</v>
      </c>
      <c r="D8" s="17">
        <v>70009117</v>
      </c>
      <c r="E8" s="10" t="s">
        <v>7</v>
      </c>
      <c r="F8" s="3" t="s">
        <v>386</v>
      </c>
      <c r="G8" s="5" t="s">
        <v>416</v>
      </c>
      <c r="H8" s="11" t="s">
        <v>8</v>
      </c>
      <c r="I8" s="2">
        <v>39</v>
      </c>
      <c r="J8" s="2">
        <v>45</v>
      </c>
      <c r="K8" s="2">
        <v>47</v>
      </c>
      <c r="L8" s="11" t="s">
        <v>418</v>
      </c>
      <c r="M8" s="11" t="s">
        <v>464</v>
      </c>
      <c r="N8" s="46" t="s">
        <v>464</v>
      </c>
    </row>
    <row r="9" spans="1:14" ht="15" hidden="1" customHeight="1">
      <c r="A9" s="2">
        <v>8</v>
      </c>
      <c r="B9" s="11" t="s">
        <v>15</v>
      </c>
      <c r="D9" s="17">
        <v>70052218</v>
      </c>
      <c r="E9" s="10" t="s">
        <v>7</v>
      </c>
      <c r="F9" s="3" t="s">
        <v>386</v>
      </c>
      <c r="G9" s="5" t="s">
        <v>320</v>
      </c>
      <c r="H9" s="11" t="s">
        <v>8</v>
      </c>
      <c r="I9" s="2">
        <v>63</v>
      </c>
      <c r="J9" s="2">
        <v>63</v>
      </c>
      <c r="K9" s="2">
        <v>63</v>
      </c>
      <c r="L9" s="11" t="s">
        <v>494</v>
      </c>
      <c r="M9" s="46" t="s">
        <v>494</v>
      </c>
      <c r="N9" s="46" t="s">
        <v>494</v>
      </c>
    </row>
    <row r="10" spans="1:14" ht="15" hidden="1" customHeight="1">
      <c r="A10" s="2">
        <v>9</v>
      </c>
      <c r="B10" s="11" t="s">
        <v>16</v>
      </c>
      <c r="D10" s="17">
        <v>20255309</v>
      </c>
      <c r="E10" s="10" t="s">
        <v>7</v>
      </c>
      <c r="F10" s="3" t="s">
        <v>386</v>
      </c>
      <c r="G10" s="5" t="s">
        <v>417</v>
      </c>
      <c r="H10" s="11" t="s">
        <v>8</v>
      </c>
      <c r="I10" s="2">
        <v>35</v>
      </c>
      <c r="J10" s="2">
        <v>35</v>
      </c>
      <c r="K10" s="2">
        <v>35</v>
      </c>
      <c r="L10" s="46" t="s">
        <v>417</v>
      </c>
      <c r="M10" s="46" t="s">
        <v>417</v>
      </c>
      <c r="N10" s="46" t="s">
        <v>417</v>
      </c>
    </row>
    <row r="11" spans="1:14" ht="15" hidden="1" customHeight="1">
      <c r="A11" s="2">
        <v>10</v>
      </c>
      <c r="B11" s="11" t="s">
        <v>17</v>
      </c>
      <c r="D11" s="17">
        <v>69893098</v>
      </c>
      <c r="E11" s="10" t="s">
        <v>7</v>
      </c>
      <c r="F11" s="3" t="s">
        <v>386</v>
      </c>
      <c r="G11" s="5" t="s">
        <v>418</v>
      </c>
      <c r="H11" s="11" t="s">
        <v>8</v>
      </c>
      <c r="I11" s="2">
        <v>34</v>
      </c>
      <c r="J11" s="2">
        <v>45</v>
      </c>
      <c r="K11" s="2">
        <v>47</v>
      </c>
      <c r="L11" s="11" t="s">
        <v>418</v>
      </c>
      <c r="M11" s="11" t="s">
        <v>418</v>
      </c>
      <c r="N11" s="46" t="s">
        <v>418</v>
      </c>
    </row>
    <row r="12" spans="1:14" ht="15" customHeight="1">
      <c r="A12" s="2">
        <v>11</v>
      </c>
      <c r="B12" s="11" t="s">
        <v>18</v>
      </c>
      <c r="D12" s="17">
        <v>20255322</v>
      </c>
      <c r="E12" s="10" t="s">
        <v>7</v>
      </c>
      <c r="F12" s="3" t="s">
        <v>386</v>
      </c>
      <c r="G12" s="5" t="s">
        <v>419</v>
      </c>
      <c r="H12" s="11" t="s">
        <v>8</v>
      </c>
      <c r="I12" s="2">
        <v>33</v>
      </c>
      <c r="J12" s="2">
        <v>35</v>
      </c>
      <c r="K12" s="2">
        <v>39</v>
      </c>
      <c r="L12" s="11" t="s">
        <v>469</v>
      </c>
      <c r="M12" s="46" t="s">
        <v>469</v>
      </c>
      <c r="N12" s="46" t="s">
        <v>469</v>
      </c>
    </row>
    <row r="13" spans="1:14" ht="15" hidden="1" customHeight="1">
      <c r="A13" s="2">
        <v>12</v>
      </c>
      <c r="B13" s="11" t="s">
        <v>19</v>
      </c>
      <c r="D13" s="17">
        <v>20255321</v>
      </c>
      <c r="E13" s="10" t="s">
        <v>7</v>
      </c>
      <c r="F13" s="3" t="s">
        <v>386</v>
      </c>
      <c r="G13" s="5" t="s">
        <v>349</v>
      </c>
      <c r="H13" s="11" t="s">
        <v>8</v>
      </c>
      <c r="I13" s="2">
        <v>21</v>
      </c>
      <c r="J13" s="2">
        <v>21</v>
      </c>
      <c r="K13" s="2">
        <v>25</v>
      </c>
      <c r="L13" s="11" t="s">
        <v>460</v>
      </c>
      <c r="M13" s="46" t="s">
        <v>460</v>
      </c>
      <c r="N13" s="46" t="s">
        <v>460</v>
      </c>
    </row>
    <row r="14" spans="1:14" ht="15" hidden="1" customHeight="1">
      <c r="A14" s="2">
        <v>13</v>
      </c>
      <c r="B14" s="11" t="s">
        <v>20</v>
      </c>
      <c r="D14" s="17">
        <v>69915798</v>
      </c>
      <c r="E14" s="10" t="s">
        <v>7</v>
      </c>
      <c r="F14" s="3" t="s">
        <v>386</v>
      </c>
      <c r="G14" s="5" t="s">
        <v>426</v>
      </c>
      <c r="H14" s="11" t="s">
        <v>8</v>
      </c>
      <c r="I14" s="2">
        <v>24</v>
      </c>
      <c r="J14" s="2">
        <v>25</v>
      </c>
      <c r="K14" s="2">
        <v>29</v>
      </c>
      <c r="L14" s="3" t="s">
        <v>462</v>
      </c>
      <c r="M14" s="3" t="s">
        <v>462</v>
      </c>
      <c r="N14" s="3" t="s">
        <v>462</v>
      </c>
    </row>
    <row r="15" spans="1:14" ht="15" hidden="1" customHeight="1">
      <c r="A15" s="2">
        <v>14</v>
      </c>
      <c r="B15" s="11" t="s">
        <v>21</v>
      </c>
      <c r="D15" s="17">
        <v>69916912</v>
      </c>
      <c r="E15" s="10" t="s">
        <v>7</v>
      </c>
      <c r="F15" s="3" t="s">
        <v>386</v>
      </c>
      <c r="G15" s="5" t="s">
        <v>421</v>
      </c>
      <c r="H15" s="11" t="s">
        <v>8</v>
      </c>
      <c r="I15" s="2">
        <v>66</v>
      </c>
      <c r="J15" s="2">
        <v>70</v>
      </c>
      <c r="K15" s="2">
        <v>82</v>
      </c>
      <c r="L15" s="3" t="s">
        <v>441</v>
      </c>
      <c r="M15" s="3" t="s">
        <v>441</v>
      </c>
      <c r="N15" s="3" t="s">
        <v>441</v>
      </c>
    </row>
    <row r="16" spans="1:14" ht="15" hidden="1" customHeight="1">
      <c r="A16" s="2">
        <v>15</v>
      </c>
      <c r="B16" s="11" t="s">
        <v>22</v>
      </c>
      <c r="D16" s="17">
        <v>70037208</v>
      </c>
      <c r="E16" s="10" t="s">
        <v>7</v>
      </c>
      <c r="F16" s="3" t="s">
        <v>386</v>
      </c>
      <c r="G16" s="5" t="s">
        <v>420</v>
      </c>
      <c r="H16" s="11" t="s">
        <v>8</v>
      </c>
      <c r="I16" s="2">
        <v>38</v>
      </c>
      <c r="J16" s="2">
        <v>45</v>
      </c>
      <c r="K16" s="2">
        <v>50</v>
      </c>
      <c r="L16" s="11" t="s">
        <v>424</v>
      </c>
      <c r="M16" s="46" t="s">
        <v>424</v>
      </c>
      <c r="N16" s="46" t="s">
        <v>516</v>
      </c>
    </row>
    <row r="17" spans="1:14" ht="15" hidden="1" customHeight="1">
      <c r="A17" s="2">
        <v>16</v>
      </c>
      <c r="B17" s="11" t="s">
        <v>23</v>
      </c>
      <c r="D17" s="17">
        <v>70047369</v>
      </c>
      <c r="E17" s="10" t="s">
        <v>7</v>
      </c>
      <c r="F17" s="3" t="s">
        <v>386</v>
      </c>
      <c r="G17" s="5" t="s">
        <v>422</v>
      </c>
      <c r="H17" s="11" t="s">
        <v>8</v>
      </c>
      <c r="I17" s="2">
        <v>105</v>
      </c>
      <c r="J17" s="2">
        <v>105</v>
      </c>
      <c r="K17" s="2">
        <v>105</v>
      </c>
      <c r="L17" s="46" t="s">
        <v>491</v>
      </c>
      <c r="M17" s="46" t="s">
        <v>491</v>
      </c>
      <c r="N17" s="46" t="s">
        <v>491</v>
      </c>
    </row>
    <row r="18" spans="1:14" ht="15" hidden="1" customHeight="1">
      <c r="A18" s="2">
        <v>17</v>
      </c>
      <c r="B18" s="11" t="s">
        <v>24</v>
      </c>
      <c r="D18" s="17">
        <v>70038440</v>
      </c>
      <c r="E18" s="10" t="s">
        <v>7</v>
      </c>
      <c r="F18" s="3" t="s">
        <v>386</v>
      </c>
      <c r="G18" s="5" t="s">
        <v>423</v>
      </c>
      <c r="H18" s="11" t="s">
        <v>8</v>
      </c>
      <c r="I18" s="2">
        <v>95</v>
      </c>
      <c r="J18" s="46">
        <v>18</v>
      </c>
      <c r="K18" s="2">
        <v>89</v>
      </c>
      <c r="L18" s="3" t="s">
        <v>441</v>
      </c>
      <c r="M18" s="3" t="s">
        <v>441</v>
      </c>
      <c r="N18" s="3" t="s">
        <v>441</v>
      </c>
    </row>
    <row r="19" spans="1:14" ht="15" hidden="1" customHeight="1">
      <c r="A19" s="2">
        <v>18</v>
      </c>
      <c r="B19" s="29" t="s">
        <v>25</v>
      </c>
      <c r="D19" s="17">
        <v>70026825</v>
      </c>
      <c r="E19" s="45" t="s">
        <v>7</v>
      </c>
      <c r="F19" s="3" t="s">
        <v>386</v>
      </c>
      <c r="G19" s="5" t="s">
        <v>420</v>
      </c>
      <c r="H19" s="11" t="s">
        <v>8</v>
      </c>
      <c r="I19" s="2">
        <v>34</v>
      </c>
      <c r="J19" s="2">
        <v>160</v>
      </c>
      <c r="K19" s="2">
        <v>42</v>
      </c>
      <c r="L19" s="3" t="s">
        <v>435</v>
      </c>
      <c r="M19" s="3" t="s">
        <v>435</v>
      </c>
      <c r="N19" s="3" t="s">
        <v>435</v>
      </c>
    </row>
    <row r="20" spans="1:14" ht="15" hidden="1" customHeight="1">
      <c r="A20" s="2">
        <v>19</v>
      </c>
      <c r="B20" s="11" t="s">
        <v>26</v>
      </c>
      <c r="D20" s="17">
        <v>69907644</v>
      </c>
      <c r="E20" s="45" t="s">
        <v>7</v>
      </c>
      <c r="F20" s="3" t="s">
        <v>386</v>
      </c>
      <c r="G20" s="5" t="s">
        <v>414</v>
      </c>
      <c r="H20" s="11" t="s">
        <v>8</v>
      </c>
      <c r="I20" s="2">
        <v>25</v>
      </c>
      <c r="J20" s="2">
        <v>235</v>
      </c>
      <c r="K20" s="2">
        <v>28</v>
      </c>
      <c r="L20" s="11" t="s">
        <v>414</v>
      </c>
      <c r="M20" s="46" t="s">
        <v>414</v>
      </c>
      <c r="N20" s="46" t="s">
        <v>414</v>
      </c>
    </row>
    <row r="21" spans="1:14" ht="15" hidden="1" customHeight="1">
      <c r="A21" s="2">
        <v>20</v>
      </c>
      <c r="B21" s="11" t="s">
        <v>27</v>
      </c>
      <c r="D21" s="17">
        <v>20255312</v>
      </c>
      <c r="E21" s="45" t="s">
        <v>7</v>
      </c>
      <c r="F21" s="3" t="s">
        <v>386</v>
      </c>
      <c r="G21" s="5" t="s">
        <v>424</v>
      </c>
      <c r="H21" s="11" t="s">
        <v>8</v>
      </c>
      <c r="I21" s="2">
        <v>45</v>
      </c>
      <c r="J21" s="2">
        <v>0</v>
      </c>
      <c r="K21" s="2">
        <v>55</v>
      </c>
      <c r="L21" s="11" t="s">
        <v>424</v>
      </c>
      <c r="M21" s="46" t="s">
        <v>424</v>
      </c>
      <c r="N21" s="46" t="s">
        <v>424</v>
      </c>
    </row>
    <row r="22" spans="1:14" ht="15" hidden="1" customHeight="1">
      <c r="A22" s="2">
        <v>21</v>
      </c>
      <c r="B22" s="11" t="s">
        <v>28</v>
      </c>
      <c r="D22" s="17">
        <v>70010903</v>
      </c>
      <c r="E22" s="45" t="s">
        <v>7</v>
      </c>
      <c r="F22" s="3" t="s">
        <v>386</v>
      </c>
      <c r="G22" s="5" t="s">
        <v>349</v>
      </c>
      <c r="H22" s="11" t="s">
        <v>8</v>
      </c>
      <c r="I22" s="2">
        <v>21</v>
      </c>
      <c r="J22" s="2">
        <v>173</v>
      </c>
      <c r="K22" s="2">
        <v>45</v>
      </c>
      <c r="L22" s="11" t="s">
        <v>460</v>
      </c>
      <c r="M22" s="46" t="s">
        <v>460</v>
      </c>
      <c r="N22" s="46" t="s">
        <v>460</v>
      </c>
    </row>
    <row r="23" spans="1:14" ht="15" hidden="1" customHeight="1">
      <c r="A23" s="2">
        <v>22</v>
      </c>
      <c r="B23" s="46" t="s">
        <v>29</v>
      </c>
      <c r="C23" s="46"/>
      <c r="D23" s="17">
        <v>69949917</v>
      </c>
      <c r="E23" s="10" t="s">
        <v>7</v>
      </c>
      <c r="F23" s="3" t="s">
        <v>386</v>
      </c>
      <c r="G23" s="5" t="s">
        <v>421</v>
      </c>
      <c r="H23" s="11" t="s">
        <v>8</v>
      </c>
      <c r="I23" s="2">
        <v>10</v>
      </c>
      <c r="J23" s="2">
        <v>1</v>
      </c>
      <c r="K23" s="2">
        <v>16</v>
      </c>
      <c r="L23" s="3" t="s">
        <v>441</v>
      </c>
      <c r="M23" s="3" t="s">
        <v>441</v>
      </c>
      <c r="N23" s="3" t="s">
        <v>441</v>
      </c>
    </row>
    <row r="24" spans="1:14" ht="15" hidden="1" customHeight="1">
      <c r="A24" s="2">
        <v>23</v>
      </c>
      <c r="B24" s="11" t="s">
        <v>30</v>
      </c>
      <c r="D24" s="17">
        <v>69991763</v>
      </c>
      <c r="E24" s="10" t="s">
        <v>7</v>
      </c>
      <c r="F24" s="3" t="s">
        <v>386</v>
      </c>
      <c r="G24" s="5" t="s">
        <v>415</v>
      </c>
      <c r="H24" s="11" t="s">
        <v>8</v>
      </c>
      <c r="I24" s="2">
        <v>34</v>
      </c>
      <c r="J24" s="2">
        <v>40</v>
      </c>
      <c r="K24" s="2">
        <v>43</v>
      </c>
      <c r="L24" s="11" t="s">
        <v>469</v>
      </c>
      <c r="M24" s="46" t="s">
        <v>431</v>
      </c>
      <c r="N24" s="67" t="s">
        <v>465</v>
      </c>
    </row>
    <row r="25" spans="1:14" ht="15" hidden="1" customHeight="1">
      <c r="A25" s="2">
        <v>24</v>
      </c>
      <c r="B25" s="46" t="s">
        <v>31</v>
      </c>
      <c r="C25" s="46"/>
      <c r="D25" s="17">
        <v>70026385</v>
      </c>
      <c r="E25" s="28" t="s">
        <v>7</v>
      </c>
      <c r="F25" s="3" t="s">
        <v>386</v>
      </c>
      <c r="G25" s="5" t="s">
        <v>420</v>
      </c>
      <c r="H25" s="11" t="s">
        <v>8</v>
      </c>
      <c r="I25" s="2">
        <v>11</v>
      </c>
      <c r="J25" s="2">
        <v>0</v>
      </c>
      <c r="K25" s="2">
        <v>18</v>
      </c>
      <c r="L25" s="3" t="s">
        <v>435</v>
      </c>
      <c r="M25" s="3" t="s">
        <v>435</v>
      </c>
      <c r="N25" s="3" t="s">
        <v>435</v>
      </c>
    </row>
    <row r="26" spans="1:14" ht="15" hidden="1" customHeight="1">
      <c r="A26" s="2">
        <v>25</v>
      </c>
      <c r="B26" s="11" t="s">
        <v>32</v>
      </c>
      <c r="D26" s="17">
        <v>20255313</v>
      </c>
      <c r="E26" s="10" t="s">
        <v>7</v>
      </c>
      <c r="F26" s="3" t="s">
        <v>386</v>
      </c>
      <c r="G26" s="5" t="s">
        <v>320</v>
      </c>
      <c r="H26" s="11" t="s">
        <v>8</v>
      </c>
      <c r="I26" s="2">
        <v>35</v>
      </c>
      <c r="J26" s="2">
        <v>165</v>
      </c>
      <c r="K26" s="2">
        <v>41</v>
      </c>
      <c r="L26" s="3" t="s">
        <v>443</v>
      </c>
      <c r="M26" s="3" t="s">
        <v>443</v>
      </c>
      <c r="N26" s="3" t="s">
        <v>443</v>
      </c>
    </row>
    <row r="27" spans="1:14" ht="15" hidden="1" customHeight="1">
      <c r="A27" s="2">
        <v>26</v>
      </c>
      <c r="B27" s="11" t="s">
        <v>33</v>
      </c>
      <c r="D27" s="17">
        <v>20255314</v>
      </c>
      <c r="E27" s="10" t="s">
        <v>7</v>
      </c>
      <c r="F27" s="3" t="s">
        <v>386</v>
      </c>
      <c r="G27" s="5" t="s">
        <v>349</v>
      </c>
      <c r="H27" s="11" t="s">
        <v>8</v>
      </c>
      <c r="I27" s="2">
        <v>74</v>
      </c>
      <c r="J27" s="2">
        <v>307</v>
      </c>
      <c r="K27" s="2">
        <v>87</v>
      </c>
      <c r="L27" s="3" t="s">
        <v>443</v>
      </c>
      <c r="M27" s="3" t="s">
        <v>443</v>
      </c>
      <c r="N27" s="3" t="s">
        <v>443</v>
      </c>
    </row>
    <row r="28" spans="1:14" ht="15" hidden="1" customHeight="1">
      <c r="A28" s="2">
        <v>27</v>
      </c>
      <c r="B28" s="3" t="s">
        <v>34</v>
      </c>
      <c r="C28" s="3"/>
      <c r="D28" s="17">
        <v>20255308</v>
      </c>
      <c r="E28" s="10" t="s">
        <v>7</v>
      </c>
      <c r="F28" s="3" t="s">
        <v>386</v>
      </c>
      <c r="G28" s="5" t="s">
        <v>320</v>
      </c>
      <c r="H28" s="11" t="s">
        <v>8</v>
      </c>
      <c r="I28" s="2">
        <v>49</v>
      </c>
      <c r="J28" s="2">
        <v>247</v>
      </c>
      <c r="K28" s="2">
        <v>58</v>
      </c>
      <c r="L28" s="3" t="s">
        <v>443</v>
      </c>
      <c r="M28" s="3" t="s">
        <v>443</v>
      </c>
      <c r="N28" s="3" t="s">
        <v>443</v>
      </c>
    </row>
    <row r="29" spans="1:14" ht="15" hidden="1" customHeight="1">
      <c r="A29" s="2">
        <v>28</v>
      </c>
      <c r="B29" s="11" t="s">
        <v>35</v>
      </c>
      <c r="D29" s="17">
        <v>69908424</v>
      </c>
      <c r="E29" s="10" t="s">
        <v>7</v>
      </c>
      <c r="F29" s="3" t="s">
        <v>386</v>
      </c>
      <c r="G29" s="5" t="s">
        <v>419</v>
      </c>
      <c r="H29" s="11" t="s">
        <v>8</v>
      </c>
      <c r="I29" s="2">
        <v>47</v>
      </c>
      <c r="J29" s="2">
        <v>0</v>
      </c>
      <c r="K29" s="2">
        <v>53</v>
      </c>
      <c r="L29" s="3" t="s">
        <v>443</v>
      </c>
      <c r="M29" s="3" t="s">
        <v>443</v>
      </c>
      <c r="N29" s="3" t="s">
        <v>443</v>
      </c>
    </row>
    <row r="30" spans="1:14" ht="15" hidden="1" customHeight="1">
      <c r="A30" s="2">
        <v>29</v>
      </c>
      <c r="B30" s="55" t="s">
        <v>36</v>
      </c>
      <c r="D30" s="17">
        <v>69908432</v>
      </c>
      <c r="E30" s="10" t="s">
        <v>7</v>
      </c>
      <c r="F30" s="3" t="s">
        <v>386</v>
      </c>
      <c r="G30" s="5" t="s">
        <v>420</v>
      </c>
      <c r="H30" s="11" t="s">
        <v>8</v>
      </c>
      <c r="I30" s="2">
        <v>23</v>
      </c>
      <c r="J30" s="2">
        <v>37</v>
      </c>
      <c r="K30" s="2">
        <v>28</v>
      </c>
      <c r="L30" s="3" t="s">
        <v>434</v>
      </c>
      <c r="M30" s="3" t="s">
        <v>434</v>
      </c>
      <c r="N30" s="3" t="s">
        <v>434</v>
      </c>
    </row>
    <row r="31" spans="1:14" ht="15" hidden="1" customHeight="1">
      <c r="A31" s="2">
        <v>30</v>
      </c>
      <c r="B31" s="11" t="s">
        <v>37</v>
      </c>
      <c r="D31" s="17">
        <v>70015256</v>
      </c>
      <c r="E31" s="10" t="s">
        <v>7</v>
      </c>
      <c r="F31" s="3" t="s">
        <v>386</v>
      </c>
      <c r="G31" s="5" t="s">
        <v>416</v>
      </c>
      <c r="H31" s="11" t="s">
        <v>8</v>
      </c>
      <c r="I31" s="2">
        <v>18</v>
      </c>
      <c r="J31" s="2">
        <v>354</v>
      </c>
      <c r="K31" s="2">
        <v>21</v>
      </c>
      <c r="L31" s="46" t="s">
        <v>418</v>
      </c>
      <c r="M31" s="46" t="s">
        <v>464</v>
      </c>
      <c r="N31" s="46" t="s">
        <v>464</v>
      </c>
    </row>
    <row r="32" spans="1:14" ht="15" hidden="1" customHeight="1">
      <c r="A32" s="2">
        <v>31</v>
      </c>
      <c r="B32" s="55" t="s">
        <v>38</v>
      </c>
      <c r="C32" s="54"/>
      <c r="D32" s="17">
        <v>69991186</v>
      </c>
      <c r="E32" s="53" t="s">
        <v>7</v>
      </c>
      <c r="F32" s="3" t="s">
        <v>386</v>
      </c>
      <c r="G32" s="68" t="s">
        <v>349</v>
      </c>
      <c r="H32" s="54" t="s">
        <v>8</v>
      </c>
      <c r="I32" s="2">
        <v>24</v>
      </c>
      <c r="J32" s="2">
        <v>62</v>
      </c>
      <c r="K32" s="2">
        <v>30</v>
      </c>
      <c r="L32" s="54" t="s">
        <v>439</v>
      </c>
      <c r="M32" s="3" t="s">
        <v>442</v>
      </c>
      <c r="N32" s="3" t="s">
        <v>439</v>
      </c>
    </row>
    <row r="33" spans="1:14" ht="15" hidden="1" customHeight="1">
      <c r="A33" s="2">
        <v>32</v>
      </c>
      <c r="B33" s="11" t="s">
        <v>39</v>
      </c>
      <c r="D33" s="17">
        <v>69975439</v>
      </c>
      <c r="E33" s="10" t="s">
        <v>7</v>
      </c>
      <c r="F33" s="3" t="s">
        <v>386</v>
      </c>
      <c r="G33" s="5" t="s">
        <v>421</v>
      </c>
      <c r="H33" s="11" t="s">
        <v>8</v>
      </c>
      <c r="I33" s="2">
        <v>19</v>
      </c>
      <c r="J33" s="2">
        <v>51</v>
      </c>
      <c r="K33" s="2">
        <v>20</v>
      </c>
      <c r="L33" s="46" t="s">
        <v>464</v>
      </c>
      <c r="M33" s="46" t="s">
        <v>464</v>
      </c>
      <c r="N33" s="46" t="s">
        <v>464</v>
      </c>
    </row>
    <row r="34" spans="1:14" ht="15" customHeight="1">
      <c r="A34" s="2">
        <v>33</v>
      </c>
      <c r="B34" s="11" t="s">
        <v>40</v>
      </c>
      <c r="D34" s="17">
        <v>70026258</v>
      </c>
      <c r="E34" s="10" t="s">
        <v>7</v>
      </c>
      <c r="F34" s="3" t="s">
        <v>386</v>
      </c>
      <c r="G34" s="5" t="s">
        <v>421</v>
      </c>
      <c r="H34" s="11" t="s">
        <v>8</v>
      </c>
      <c r="I34" s="2">
        <v>30</v>
      </c>
      <c r="J34" s="2">
        <v>63</v>
      </c>
      <c r="K34" s="2">
        <v>29</v>
      </c>
      <c r="L34" s="3" t="s">
        <v>442</v>
      </c>
      <c r="M34" s="3" t="s">
        <v>469</v>
      </c>
      <c r="N34" s="3" t="s">
        <v>469</v>
      </c>
    </row>
    <row r="35" spans="1:14" ht="15" hidden="1" customHeight="1">
      <c r="A35" s="2">
        <v>34</v>
      </c>
      <c r="B35" s="11" t="s">
        <v>41</v>
      </c>
      <c r="D35" s="17">
        <v>69971955</v>
      </c>
      <c r="E35" s="10" t="s">
        <v>42</v>
      </c>
      <c r="F35" s="3" t="s">
        <v>386</v>
      </c>
      <c r="G35" s="5" t="s">
        <v>419</v>
      </c>
      <c r="H35" s="11" t="s">
        <v>8</v>
      </c>
      <c r="I35" s="2">
        <v>35</v>
      </c>
      <c r="J35" s="2">
        <v>7</v>
      </c>
      <c r="K35" s="2">
        <v>31</v>
      </c>
      <c r="L35" s="3" t="s">
        <v>443</v>
      </c>
      <c r="M35" s="3" t="s">
        <v>443</v>
      </c>
      <c r="N35" s="3" t="s">
        <v>443</v>
      </c>
    </row>
    <row r="36" spans="1:14" ht="15" hidden="1" customHeight="1">
      <c r="A36" s="60">
        <v>35</v>
      </c>
      <c r="B36" s="55" t="s">
        <v>43</v>
      </c>
      <c r="C36" s="55"/>
      <c r="D36" s="57">
        <v>69880601</v>
      </c>
      <c r="E36" s="58" t="s">
        <v>42</v>
      </c>
      <c r="F36" s="56" t="s">
        <v>386</v>
      </c>
      <c r="G36" s="59" t="s">
        <v>320</v>
      </c>
      <c r="H36" s="55" t="s">
        <v>8</v>
      </c>
      <c r="I36" s="60">
        <v>19</v>
      </c>
      <c r="J36" s="55">
        <v>40</v>
      </c>
      <c r="K36" s="60">
        <v>23</v>
      </c>
      <c r="L36" s="55" t="s">
        <v>442</v>
      </c>
      <c r="M36" s="55" t="s">
        <v>439</v>
      </c>
      <c r="N36" s="55" t="s">
        <v>442</v>
      </c>
    </row>
    <row r="37" spans="1:14" ht="15" customHeight="1">
      <c r="A37" s="2">
        <v>36</v>
      </c>
      <c r="B37" s="11" t="s">
        <v>44</v>
      </c>
      <c r="D37" s="17">
        <v>69964525</v>
      </c>
      <c r="E37" s="10" t="s">
        <v>42</v>
      </c>
      <c r="F37" s="3" t="s">
        <v>386</v>
      </c>
      <c r="G37" s="5" t="s">
        <v>425</v>
      </c>
      <c r="H37" s="11" t="s">
        <v>8</v>
      </c>
      <c r="I37" s="2">
        <v>30</v>
      </c>
      <c r="J37" s="46">
        <v>17</v>
      </c>
      <c r="K37" s="2">
        <v>26</v>
      </c>
      <c r="L37" s="3" t="s">
        <v>442</v>
      </c>
      <c r="M37" s="3" t="s">
        <v>469</v>
      </c>
      <c r="N37" s="3" t="s">
        <v>469</v>
      </c>
    </row>
    <row r="38" spans="1:14" ht="15" hidden="1" customHeight="1">
      <c r="A38" s="2">
        <v>37</v>
      </c>
      <c r="B38" s="11" t="s">
        <v>45</v>
      </c>
      <c r="D38" s="17">
        <v>69992607</v>
      </c>
      <c r="E38" s="10" t="s">
        <v>42</v>
      </c>
      <c r="F38" s="3" t="s">
        <v>386</v>
      </c>
      <c r="G38" s="5" t="s">
        <v>426</v>
      </c>
      <c r="H38" s="11" t="s">
        <v>8</v>
      </c>
      <c r="I38" s="2">
        <v>22</v>
      </c>
      <c r="J38" s="2">
        <v>25</v>
      </c>
      <c r="K38" s="2">
        <v>30</v>
      </c>
      <c r="L38" s="46" t="s">
        <v>461</v>
      </c>
      <c r="M38" s="46" t="s">
        <v>461</v>
      </c>
      <c r="N38" s="46" t="s">
        <v>461</v>
      </c>
    </row>
    <row r="39" spans="1:14" ht="15" hidden="1" customHeight="1">
      <c r="A39" s="2">
        <v>38</v>
      </c>
      <c r="B39" s="14" t="s">
        <v>46</v>
      </c>
      <c r="D39" s="17">
        <v>69823593</v>
      </c>
      <c r="E39" s="45" t="s">
        <v>42</v>
      </c>
      <c r="F39" s="3" t="s">
        <v>386</v>
      </c>
      <c r="G39" s="5" t="s">
        <v>349</v>
      </c>
      <c r="H39" s="11" t="s">
        <v>8</v>
      </c>
      <c r="I39" s="2">
        <v>39</v>
      </c>
      <c r="J39" s="2">
        <v>39</v>
      </c>
      <c r="K39" s="2">
        <v>39</v>
      </c>
      <c r="L39" s="46" t="s">
        <v>442</v>
      </c>
      <c r="M39" s="46" t="s">
        <v>442</v>
      </c>
    </row>
    <row r="40" spans="1:14" ht="15" hidden="1" customHeight="1">
      <c r="A40" s="2">
        <v>39</v>
      </c>
      <c r="B40" s="11" t="s">
        <v>47</v>
      </c>
      <c r="D40" s="17">
        <v>69978037</v>
      </c>
      <c r="E40" s="10" t="s">
        <v>42</v>
      </c>
      <c r="F40" s="3" t="s">
        <v>386</v>
      </c>
      <c r="G40" s="5" t="s">
        <v>422</v>
      </c>
      <c r="H40" s="11" t="s">
        <v>8</v>
      </c>
      <c r="I40" s="2">
        <v>16</v>
      </c>
      <c r="J40" s="2">
        <v>6</v>
      </c>
      <c r="K40" s="2">
        <v>8</v>
      </c>
      <c r="L40" s="46" t="s">
        <v>468</v>
      </c>
      <c r="M40" s="46" t="s">
        <v>468</v>
      </c>
      <c r="N40" s="46" t="s">
        <v>468</v>
      </c>
    </row>
    <row r="41" spans="1:14" ht="15" hidden="1" customHeight="1">
      <c r="A41" s="2">
        <v>40</v>
      </c>
      <c r="B41" s="11" t="s">
        <v>48</v>
      </c>
      <c r="D41" s="17">
        <v>70000659</v>
      </c>
      <c r="E41" s="10" t="s">
        <v>42</v>
      </c>
      <c r="F41" s="3" t="s">
        <v>386</v>
      </c>
      <c r="G41" s="5" t="s">
        <v>417</v>
      </c>
      <c r="H41" s="11" t="s">
        <v>8</v>
      </c>
      <c r="I41" s="2">
        <v>44</v>
      </c>
      <c r="J41" s="2">
        <v>42</v>
      </c>
      <c r="K41" s="2">
        <v>46</v>
      </c>
      <c r="L41" s="46" t="s">
        <v>417</v>
      </c>
      <c r="M41" s="46" t="s">
        <v>417</v>
      </c>
      <c r="N41" s="46" t="s">
        <v>417</v>
      </c>
    </row>
    <row r="42" spans="1:14" hidden="1">
      <c r="A42" s="2">
        <v>41</v>
      </c>
      <c r="B42" s="11" t="s">
        <v>49</v>
      </c>
      <c r="C42" s="29">
        <v>4</v>
      </c>
      <c r="D42" s="17">
        <v>70052723</v>
      </c>
      <c r="E42" s="10" t="s">
        <v>42</v>
      </c>
      <c r="F42" s="3" t="s">
        <v>386</v>
      </c>
      <c r="G42" s="5" t="s">
        <v>427</v>
      </c>
      <c r="H42" s="11" t="s">
        <v>8</v>
      </c>
      <c r="I42" s="2">
        <v>30</v>
      </c>
      <c r="J42" s="2">
        <v>36</v>
      </c>
      <c r="K42" s="2">
        <v>41</v>
      </c>
      <c r="L42" s="46" t="s">
        <v>469</v>
      </c>
      <c r="M42" s="3" t="s">
        <v>465</v>
      </c>
      <c r="N42" s="3" t="s">
        <v>427</v>
      </c>
    </row>
    <row r="43" spans="1:14" ht="15" hidden="1" customHeight="1">
      <c r="A43" s="2">
        <v>42</v>
      </c>
      <c r="B43" s="11" t="s">
        <v>50</v>
      </c>
      <c r="D43" s="17">
        <v>69978476</v>
      </c>
      <c r="E43" s="10" t="s">
        <v>42</v>
      </c>
      <c r="F43" s="3" t="s">
        <v>386</v>
      </c>
      <c r="G43" s="5" t="s">
        <v>417</v>
      </c>
      <c r="H43" s="11" t="s">
        <v>8</v>
      </c>
      <c r="I43" s="2">
        <v>20</v>
      </c>
      <c r="J43" s="2">
        <v>26</v>
      </c>
      <c r="K43" s="2">
        <v>31</v>
      </c>
      <c r="L43" s="11" t="s">
        <v>417</v>
      </c>
      <c r="M43" s="46" t="s">
        <v>417</v>
      </c>
      <c r="N43" s="46" t="s">
        <v>417</v>
      </c>
    </row>
    <row r="44" spans="1:14" ht="15" hidden="1" customHeight="1">
      <c r="A44" s="2">
        <v>43</v>
      </c>
      <c r="B44" s="11" t="s">
        <v>51</v>
      </c>
      <c r="D44" s="17">
        <v>70001235</v>
      </c>
      <c r="E44" s="10" t="s">
        <v>42</v>
      </c>
      <c r="F44" s="3" t="s">
        <v>386</v>
      </c>
      <c r="G44" s="5" t="s">
        <v>417</v>
      </c>
      <c r="H44" s="11" t="s">
        <v>8</v>
      </c>
      <c r="I44" s="2">
        <v>81</v>
      </c>
      <c r="J44" s="2">
        <v>17</v>
      </c>
      <c r="K44" s="2">
        <v>20</v>
      </c>
      <c r="L44" s="11" t="s">
        <v>417</v>
      </c>
      <c r="M44" s="11" t="s">
        <v>417</v>
      </c>
      <c r="N44" s="46" t="s">
        <v>417</v>
      </c>
    </row>
    <row r="45" spans="1:14" ht="15" hidden="1" customHeight="1">
      <c r="A45" s="2">
        <v>44</v>
      </c>
      <c r="B45" s="11" t="s">
        <v>52</v>
      </c>
      <c r="D45" s="17">
        <v>70003877</v>
      </c>
      <c r="E45" s="10" t="s">
        <v>42</v>
      </c>
      <c r="F45" s="3" t="s">
        <v>386</v>
      </c>
      <c r="G45" s="5" t="s">
        <v>415</v>
      </c>
      <c r="H45" s="11" t="s">
        <v>8</v>
      </c>
      <c r="I45" s="2">
        <v>17</v>
      </c>
      <c r="J45" s="2"/>
      <c r="K45" s="2"/>
      <c r="L45" s="46"/>
      <c r="M45" s="46"/>
    </row>
    <row r="46" spans="1:14" ht="15" hidden="1" customHeight="1">
      <c r="A46" s="2">
        <v>45</v>
      </c>
      <c r="B46" s="11" t="s">
        <v>53</v>
      </c>
      <c r="D46" s="17">
        <v>69984066</v>
      </c>
      <c r="E46" s="10" t="s">
        <v>42</v>
      </c>
      <c r="F46" s="3" t="s">
        <v>386</v>
      </c>
      <c r="G46" s="5" t="s">
        <v>417</v>
      </c>
      <c r="H46" s="11" t="s">
        <v>8</v>
      </c>
      <c r="I46" s="2">
        <v>62</v>
      </c>
      <c r="J46" s="2">
        <v>38</v>
      </c>
      <c r="K46" s="2">
        <v>40</v>
      </c>
      <c r="L46" s="46" t="s">
        <v>417</v>
      </c>
      <c r="M46" s="46" t="s">
        <v>417</v>
      </c>
      <c r="N46" s="46" t="s">
        <v>417</v>
      </c>
    </row>
    <row r="47" spans="1:14" ht="15" hidden="1" customHeight="1">
      <c r="A47" s="2">
        <v>46</v>
      </c>
      <c r="B47" s="67" t="s">
        <v>54</v>
      </c>
      <c r="C47" s="67"/>
      <c r="D47" s="17">
        <v>70008259</v>
      </c>
      <c r="E47" s="66" t="s">
        <v>42</v>
      </c>
      <c r="F47" s="3" t="s">
        <v>386</v>
      </c>
      <c r="G47" s="5" t="s">
        <v>423</v>
      </c>
      <c r="H47" s="67" t="s">
        <v>8</v>
      </c>
      <c r="I47" s="2">
        <v>36</v>
      </c>
      <c r="J47" s="2">
        <v>38</v>
      </c>
      <c r="K47" s="2">
        <v>38</v>
      </c>
      <c r="L47" s="67" t="s">
        <v>464</v>
      </c>
      <c r="M47" s="67" t="s">
        <v>418</v>
      </c>
      <c r="N47" s="67" t="s">
        <v>418</v>
      </c>
    </row>
    <row r="48" spans="1:14" ht="15" hidden="1" customHeight="1">
      <c r="A48" s="60">
        <v>47</v>
      </c>
      <c r="B48" s="55" t="s">
        <v>55</v>
      </c>
      <c r="C48" s="55"/>
      <c r="D48" s="57">
        <v>70038479</v>
      </c>
      <c r="E48" s="58" t="s">
        <v>42</v>
      </c>
      <c r="F48" s="56" t="s">
        <v>386</v>
      </c>
      <c r="G48" s="59" t="s">
        <v>418</v>
      </c>
      <c r="H48" s="55" t="s">
        <v>8</v>
      </c>
      <c r="I48" s="60">
        <v>65</v>
      </c>
      <c r="J48" s="60">
        <v>63</v>
      </c>
      <c r="K48" s="60">
        <v>66</v>
      </c>
      <c r="L48" s="55" t="s">
        <v>418</v>
      </c>
      <c r="M48" s="55" t="s">
        <v>418</v>
      </c>
      <c r="N48" s="56" t="s">
        <v>519</v>
      </c>
    </row>
    <row r="49" spans="1:14" ht="15" customHeight="1">
      <c r="A49" s="2">
        <v>48</v>
      </c>
      <c r="B49" s="11" t="s">
        <v>56</v>
      </c>
      <c r="D49" s="17">
        <v>69987012</v>
      </c>
      <c r="E49" s="10" t="s">
        <v>42</v>
      </c>
      <c r="F49" s="3" t="s">
        <v>386</v>
      </c>
      <c r="G49" s="5" t="s">
        <v>425</v>
      </c>
      <c r="H49" s="11" t="s">
        <v>8</v>
      </c>
      <c r="I49" s="2">
        <v>45</v>
      </c>
      <c r="J49" s="2">
        <v>32</v>
      </c>
      <c r="K49" s="2">
        <v>34</v>
      </c>
      <c r="L49" s="3" t="s">
        <v>442</v>
      </c>
      <c r="M49" s="3" t="s">
        <v>469</v>
      </c>
      <c r="N49" s="3" t="s">
        <v>469</v>
      </c>
    </row>
    <row r="50" spans="1:14" ht="15" hidden="1" customHeight="1">
      <c r="A50" s="2">
        <v>49</v>
      </c>
      <c r="B50" s="11" t="s">
        <v>57</v>
      </c>
      <c r="D50" s="17">
        <v>69823491</v>
      </c>
      <c r="E50" s="10" t="s">
        <v>42</v>
      </c>
      <c r="F50" s="3" t="s">
        <v>386</v>
      </c>
      <c r="G50" s="5" t="s">
        <v>414</v>
      </c>
      <c r="H50" s="11" t="s">
        <v>8</v>
      </c>
      <c r="I50" s="2">
        <v>49</v>
      </c>
      <c r="J50" s="2">
        <v>36</v>
      </c>
      <c r="K50" s="2">
        <v>38</v>
      </c>
      <c r="L50" s="46" t="s">
        <v>414</v>
      </c>
      <c r="M50" s="46" t="s">
        <v>414</v>
      </c>
      <c r="N50" s="46" t="s">
        <v>414</v>
      </c>
    </row>
    <row r="51" spans="1:14" ht="15" hidden="1" customHeight="1">
      <c r="A51" s="2">
        <v>50</v>
      </c>
      <c r="B51" s="11" t="s">
        <v>58</v>
      </c>
      <c r="D51" s="17">
        <v>69990543</v>
      </c>
      <c r="E51" s="10" t="s">
        <v>42</v>
      </c>
      <c r="F51" s="3" t="s">
        <v>386</v>
      </c>
      <c r="G51" s="5" t="s">
        <v>417</v>
      </c>
      <c r="H51" s="11" t="s">
        <v>8</v>
      </c>
      <c r="I51" s="2">
        <v>22</v>
      </c>
      <c r="J51" s="2">
        <v>20</v>
      </c>
      <c r="K51" s="2">
        <v>25</v>
      </c>
      <c r="L51" s="46" t="s">
        <v>417</v>
      </c>
      <c r="M51" s="46" t="s">
        <v>417</v>
      </c>
      <c r="N51" s="46" t="s">
        <v>417</v>
      </c>
    </row>
    <row r="52" spans="1:14" ht="15" customHeight="1">
      <c r="A52" s="2">
        <v>51</v>
      </c>
      <c r="B52" s="11" t="s">
        <v>59</v>
      </c>
      <c r="D52" s="17">
        <v>70028798</v>
      </c>
      <c r="E52" s="10" t="s">
        <v>42</v>
      </c>
      <c r="F52" s="3" t="s">
        <v>386</v>
      </c>
      <c r="G52" s="5" t="s">
        <v>419</v>
      </c>
      <c r="H52" s="11" t="s">
        <v>8</v>
      </c>
      <c r="I52" s="2">
        <v>57</v>
      </c>
      <c r="J52" s="2">
        <v>37</v>
      </c>
      <c r="K52" s="2">
        <v>44</v>
      </c>
      <c r="L52" s="46" t="s">
        <v>469</v>
      </c>
      <c r="M52" s="46" t="s">
        <v>469</v>
      </c>
      <c r="N52" s="46" t="s">
        <v>469</v>
      </c>
    </row>
    <row r="53" spans="1:14" ht="15" hidden="1" customHeight="1">
      <c r="A53" s="2">
        <v>52</v>
      </c>
      <c r="B53" s="11" t="s">
        <v>60</v>
      </c>
      <c r="D53" s="17">
        <v>69991462</v>
      </c>
      <c r="E53" s="10" t="s">
        <v>42</v>
      </c>
      <c r="F53" s="3" t="s">
        <v>386</v>
      </c>
      <c r="G53" s="5" t="s">
        <v>423</v>
      </c>
      <c r="H53" s="11" t="s">
        <v>8</v>
      </c>
      <c r="I53" s="2">
        <v>14</v>
      </c>
      <c r="J53" s="2">
        <v>9</v>
      </c>
      <c r="K53" s="2">
        <v>11</v>
      </c>
      <c r="L53" s="46" t="s">
        <v>418</v>
      </c>
      <c r="M53" s="46" t="s">
        <v>418</v>
      </c>
      <c r="N53" s="46" t="s">
        <v>418</v>
      </c>
    </row>
    <row r="54" spans="1:14" ht="15" hidden="1" customHeight="1">
      <c r="A54" s="2">
        <v>53</v>
      </c>
      <c r="B54" s="11" t="s">
        <v>61</v>
      </c>
      <c r="D54" s="17">
        <v>69823527</v>
      </c>
      <c r="E54" s="45" t="s">
        <v>42</v>
      </c>
      <c r="F54" s="3" t="s">
        <v>386</v>
      </c>
      <c r="G54" s="5" t="s">
        <v>419</v>
      </c>
      <c r="H54" s="11" t="s">
        <v>8</v>
      </c>
      <c r="I54" s="2">
        <v>20</v>
      </c>
      <c r="J54" s="2">
        <v>19</v>
      </c>
      <c r="K54" s="2">
        <v>23</v>
      </c>
      <c r="L54" s="3" t="s">
        <v>440</v>
      </c>
      <c r="M54" s="3" t="s">
        <v>440</v>
      </c>
      <c r="N54" s="3" t="s">
        <v>440</v>
      </c>
    </row>
    <row r="55" spans="1:14" ht="15" hidden="1" customHeight="1">
      <c r="A55" s="2">
        <v>54</v>
      </c>
      <c r="B55" s="11" t="s">
        <v>62</v>
      </c>
      <c r="D55" s="17">
        <v>69823566</v>
      </c>
      <c r="E55" s="45" t="s">
        <v>42</v>
      </c>
      <c r="F55" s="3" t="s">
        <v>386</v>
      </c>
      <c r="G55" s="5" t="s">
        <v>416</v>
      </c>
      <c r="H55" s="11" t="s">
        <v>8</v>
      </c>
      <c r="I55" s="2">
        <v>42</v>
      </c>
      <c r="J55" s="2">
        <v>42</v>
      </c>
      <c r="K55" s="2">
        <v>44</v>
      </c>
      <c r="L55" s="11" t="s">
        <v>418</v>
      </c>
      <c r="M55" s="11" t="s">
        <v>464</v>
      </c>
      <c r="N55" s="46" t="s">
        <v>464</v>
      </c>
    </row>
    <row r="56" spans="1:14" ht="15" hidden="1" customHeight="1">
      <c r="A56" s="2">
        <v>55</v>
      </c>
      <c r="B56" s="11" t="s">
        <v>63</v>
      </c>
      <c r="D56" s="17">
        <v>69823580</v>
      </c>
      <c r="E56" s="10" t="s">
        <v>42</v>
      </c>
      <c r="F56" s="3" t="s">
        <v>386</v>
      </c>
      <c r="G56" s="5" t="s">
        <v>425</v>
      </c>
      <c r="H56" s="11" t="s">
        <v>8</v>
      </c>
      <c r="I56" s="2">
        <v>29</v>
      </c>
      <c r="J56" s="2">
        <v>28</v>
      </c>
      <c r="K56" s="2">
        <v>31</v>
      </c>
      <c r="L56" s="3" t="s">
        <v>442</v>
      </c>
      <c r="M56" s="3" t="s">
        <v>442</v>
      </c>
      <c r="N56" s="3" t="s">
        <v>427</v>
      </c>
    </row>
    <row r="57" spans="1:14" ht="15" hidden="1" customHeight="1">
      <c r="A57" s="2">
        <v>56</v>
      </c>
      <c r="B57" s="67" t="s">
        <v>64</v>
      </c>
      <c r="C57" s="67"/>
      <c r="D57" s="17">
        <v>69823556</v>
      </c>
      <c r="E57" s="66" t="s">
        <v>42</v>
      </c>
      <c r="F57" s="3" t="s">
        <v>386</v>
      </c>
      <c r="G57" s="5" t="s">
        <v>423</v>
      </c>
      <c r="H57" s="67" t="s">
        <v>8</v>
      </c>
      <c r="I57" s="2">
        <v>33</v>
      </c>
      <c r="J57" s="2">
        <v>33</v>
      </c>
      <c r="K57" s="2">
        <v>35</v>
      </c>
      <c r="L57" s="67" t="s">
        <v>418</v>
      </c>
      <c r="M57" s="67" t="s">
        <v>418</v>
      </c>
      <c r="N57" s="67" t="s">
        <v>418</v>
      </c>
    </row>
    <row r="58" spans="1:14" ht="15" hidden="1" customHeight="1">
      <c r="A58" s="60">
        <v>57</v>
      </c>
      <c r="B58" s="55" t="s">
        <v>65</v>
      </c>
      <c r="C58" s="55"/>
      <c r="D58" s="57">
        <v>69823650</v>
      </c>
      <c r="E58" s="58" t="s">
        <v>42</v>
      </c>
      <c r="F58" s="56" t="s">
        <v>386</v>
      </c>
      <c r="G58" s="59" t="s">
        <v>416</v>
      </c>
      <c r="H58" s="55" t="s">
        <v>8</v>
      </c>
      <c r="I58" s="60">
        <v>21</v>
      </c>
      <c r="J58" s="60">
        <v>21</v>
      </c>
      <c r="K58" s="60">
        <v>38</v>
      </c>
      <c r="L58" s="55"/>
      <c r="M58" s="55" t="s">
        <v>418</v>
      </c>
      <c r="N58" s="55" t="s">
        <v>519</v>
      </c>
    </row>
    <row r="59" spans="1:14" ht="15" hidden="1" customHeight="1">
      <c r="A59" s="2">
        <v>58</v>
      </c>
      <c r="B59" s="11" t="s">
        <v>66</v>
      </c>
      <c r="D59" s="17">
        <v>69823661</v>
      </c>
      <c r="E59" s="10" t="s">
        <v>42</v>
      </c>
      <c r="F59" s="3" t="s">
        <v>386</v>
      </c>
      <c r="G59" s="5" t="s">
        <v>420</v>
      </c>
      <c r="H59" s="11" t="s">
        <v>8</v>
      </c>
      <c r="I59" s="2">
        <v>65</v>
      </c>
      <c r="J59" s="2">
        <v>57</v>
      </c>
      <c r="K59" s="2">
        <v>59</v>
      </c>
      <c r="L59" s="11" t="s">
        <v>424</v>
      </c>
      <c r="M59" s="46" t="s">
        <v>424</v>
      </c>
      <c r="N59" s="46" t="s">
        <v>516</v>
      </c>
    </row>
    <row r="60" spans="1:14" ht="15" hidden="1" customHeight="1">
      <c r="A60" s="60">
        <v>59</v>
      </c>
      <c r="B60" s="55" t="s">
        <v>67</v>
      </c>
      <c r="C60" s="55"/>
      <c r="D60" s="57">
        <v>69823431</v>
      </c>
      <c r="E60" s="58" t="s">
        <v>42</v>
      </c>
      <c r="F60" s="56" t="s">
        <v>386</v>
      </c>
      <c r="G60" s="59" t="s">
        <v>418</v>
      </c>
      <c r="H60" s="55" t="s">
        <v>8</v>
      </c>
      <c r="I60" s="60">
        <v>50</v>
      </c>
      <c r="J60" s="60">
        <v>32</v>
      </c>
      <c r="K60" s="60">
        <v>35</v>
      </c>
      <c r="L60" s="55" t="s">
        <v>418</v>
      </c>
      <c r="M60" s="55" t="s">
        <v>418</v>
      </c>
      <c r="N60" s="56" t="s">
        <v>519</v>
      </c>
    </row>
    <row r="61" spans="1:14" ht="15" hidden="1" customHeight="1">
      <c r="A61" s="2">
        <v>60</v>
      </c>
      <c r="B61" s="11" t="s">
        <v>68</v>
      </c>
      <c r="D61" s="17">
        <v>69907576</v>
      </c>
      <c r="E61" s="10" t="s">
        <v>42</v>
      </c>
      <c r="F61" s="3" t="s">
        <v>386</v>
      </c>
      <c r="G61" s="5" t="s">
        <v>422</v>
      </c>
      <c r="H61" s="11" t="s">
        <v>8</v>
      </c>
      <c r="I61" s="2">
        <v>42</v>
      </c>
      <c r="J61" s="2">
        <v>38</v>
      </c>
      <c r="K61" s="2">
        <v>42</v>
      </c>
      <c r="L61" s="11" t="s">
        <v>461</v>
      </c>
      <c r="M61" s="46" t="s">
        <v>461</v>
      </c>
      <c r="N61" s="46" t="s">
        <v>461</v>
      </c>
    </row>
    <row r="62" spans="1:14" ht="15" hidden="1" customHeight="1">
      <c r="A62" s="2">
        <v>61</v>
      </c>
      <c r="B62" s="11" t="s">
        <v>69</v>
      </c>
      <c r="D62" s="17">
        <v>69940182</v>
      </c>
      <c r="E62" s="45" t="s">
        <v>42</v>
      </c>
      <c r="F62" s="3" t="s">
        <v>386</v>
      </c>
      <c r="G62" s="5" t="s">
        <v>424</v>
      </c>
      <c r="H62" s="11" t="s">
        <v>8</v>
      </c>
      <c r="I62" s="2">
        <v>14</v>
      </c>
      <c r="J62" s="2">
        <v>15</v>
      </c>
      <c r="K62" s="2">
        <v>19</v>
      </c>
      <c r="L62" s="11" t="s">
        <v>424</v>
      </c>
      <c r="M62" s="46" t="s">
        <v>424</v>
      </c>
      <c r="N62" s="46" t="s">
        <v>424</v>
      </c>
    </row>
    <row r="63" spans="1:14" ht="15" hidden="1" customHeight="1">
      <c r="A63" s="2">
        <v>62</v>
      </c>
      <c r="B63" s="11" t="s">
        <v>70</v>
      </c>
      <c r="D63" s="17">
        <v>69823610</v>
      </c>
      <c r="E63" s="45" t="s">
        <v>42</v>
      </c>
      <c r="F63" s="3" t="s">
        <v>386</v>
      </c>
      <c r="G63" s="5" t="s">
        <v>414</v>
      </c>
      <c r="H63" s="11" t="s">
        <v>8</v>
      </c>
      <c r="I63" s="2">
        <v>22</v>
      </c>
      <c r="J63" s="2">
        <v>24</v>
      </c>
      <c r="K63" s="2">
        <v>27</v>
      </c>
      <c r="L63" s="3" t="s">
        <v>461</v>
      </c>
      <c r="M63" s="3" t="s">
        <v>461</v>
      </c>
      <c r="N63" s="3" t="s">
        <v>461</v>
      </c>
    </row>
    <row r="64" spans="1:14" ht="15" hidden="1" customHeight="1">
      <c r="A64" s="2">
        <v>63</v>
      </c>
      <c r="B64" s="11" t="s">
        <v>71</v>
      </c>
      <c r="D64" s="17">
        <v>69949429</v>
      </c>
      <c r="E64" s="45" t="s">
        <v>42</v>
      </c>
      <c r="F64" s="3" t="s">
        <v>386</v>
      </c>
      <c r="G64" s="5" t="s">
        <v>416</v>
      </c>
      <c r="H64" s="11" t="s">
        <v>8</v>
      </c>
      <c r="I64" s="2">
        <v>15</v>
      </c>
      <c r="J64" s="2">
        <v>21</v>
      </c>
      <c r="K64" s="2">
        <v>21</v>
      </c>
      <c r="L64" s="11" t="s">
        <v>464</v>
      </c>
      <c r="M64" s="46" t="s">
        <v>464</v>
      </c>
      <c r="N64" s="46" t="s">
        <v>464</v>
      </c>
    </row>
    <row r="65" spans="1:14" ht="15" hidden="1" customHeight="1">
      <c r="A65" s="2">
        <v>64</v>
      </c>
      <c r="B65" s="11" t="s">
        <v>72</v>
      </c>
      <c r="D65" s="17">
        <v>69823633</v>
      </c>
      <c r="E65" s="45" t="s">
        <v>42</v>
      </c>
      <c r="F65" s="3" t="s">
        <v>386</v>
      </c>
      <c r="G65" s="5" t="s">
        <v>415</v>
      </c>
      <c r="H65" s="11" t="s">
        <v>8</v>
      </c>
      <c r="I65" s="2">
        <v>27</v>
      </c>
      <c r="J65" s="2">
        <v>22</v>
      </c>
      <c r="K65" s="2">
        <v>27</v>
      </c>
      <c r="L65" s="46" t="s">
        <v>431</v>
      </c>
      <c r="M65" s="46" t="s">
        <v>415</v>
      </c>
      <c r="N65" s="46" t="s">
        <v>415</v>
      </c>
    </row>
    <row r="66" spans="1:14" ht="15" hidden="1" customHeight="1">
      <c r="A66" s="2">
        <v>65</v>
      </c>
      <c r="B66" s="11" t="s">
        <v>73</v>
      </c>
      <c r="D66" s="17">
        <v>69945727</v>
      </c>
      <c r="E66" s="45" t="s">
        <v>42</v>
      </c>
      <c r="F66" s="3" t="s">
        <v>386</v>
      </c>
      <c r="G66" s="5" t="s">
        <v>419</v>
      </c>
      <c r="H66" s="11" t="s">
        <v>8</v>
      </c>
      <c r="I66" s="2">
        <v>60</v>
      </c>
      <c r="J66" s="2">
        <v>56</v>
      </c>
      <c r="K66" s="2">
        <v>60</v>
      </c>
      <c r="L66" s="46" t="s">
        <v>431</v>
      </c>
      <c r="M66" s="46" t="s">
        <v>431</v>
      </c>
      <c r="N66" s="67" t="s">
        <v>431</v>
      </c>
    </row>
    <row r="67" spans="1:14" ht="15" hidden="1" customHeight="1">
      <c r="A67" s="2">
        <v>66</v>
      </c>
      <c r="B67" s="55" t="s">
        <v>74</v>
      </c>
      <c r="D67" s="17">
        <v>69911089</v>
      </c>
      <c r="E67" s="10" t="s">
        <v>42</v>
      </c>
      <c r="F67" s="3" t="s">
        <v>386</v>
      </c>
      <c r="G67" s="5" t="s">
        <v>349</v>
      </c>
      <c r="H67" s="11" t="s">
        <v>8</v>
      </c>
      <c r="I67" s="2">
        <v>28</v>
      </c>
      <c r="J67" s="2">
        <v>31</v>
      </c>
      <c r="K67" s="2">
        <v>33</v>
      </c>
      <c r="L67" s="3" t="s">
        <v>442</v>
      </c>
      <c r="M67" s="3" t="s">
        <v>442</v>
      </c>
      <c r="N67" s="3" t="s">
        <v>442</v>
      </c>
    </row>
    <row r="68" spans="1:14" ht="15" hidden="1" customHeight="1">
      <c r="A68" s="2">
        <v>67</v>
      </c>
      <c r="B68" s="11" t="s">
        <v>75</v>
      </c>
      <c r="D68" s="17">
        <v>69893108</v>
      </c>
      <c r="E68" s="10" t="s">
        <v>42</v>
      </c>
      <c r="F68" s="3" t="s">
        <v>386</v>
      </c>
      <c r="G68" s="5" t="s">
        <v>320</v>
      </c>
      <c r="H68" s="11" t="s">
        <v>8</v>
      </c>
      <c r="I68" s="2">
        <v>72</v>
      </c>
      <c r="J68" s="2">
        <v>21</v>
      </c>
      <c r="K68" s="2">
        <v>24</v>
      </c>
      <c r="L68" s="3" t="s">
        <v>461</v>
      </c>
      <c r="M68" s="3" t="s">
        <v>461</v>
      </c>
      <c r="N68" s="3" t="s">
        <v>461</v>
      </c>
    </row>
    <row r="69" spans="1:14" ht="15" hidden="1" customHeight="1">
      <c r="A69" s="2">
        <v>68</v>
      </c>
      <c r="B69" s="11" t="s">
        <v>76</v>
      </c>
      <c r="D69" s="17">
        <v>69916259</v>
      </c>
      <c r="E69" s="10" t="s">
        <v>42</v>
      </c>
      <c r="F69" s="3" t="s">
        <v>386</v>
      </c>
      <c r="G69" s="5" t="s">
        <v>422</v>
      </c>
      <c r="H69" s="11" t="s">
        <v>8</v>
      </c>
      <c r="I69" s="2">
        <v>7</v>
      </c>
      <c r="J69" s="2"/>
      <c r="K69" s="2"/>
      <c r="L69" s="46"/>
      <c r="M69" s="46" t="s">
        <v>462</v>
      </c>
      <c r="N69" s="46" t="s">
        <v>462</v>
      </c>
    </row>
    <row r="70" spans="1:14" ht="15" hidden="1" customHeight="1">
      <c r="A70" s="2">
        <v>69</v>
      </c>
      <c r="B70" s="11" t="s">
        <v>239</v>
      </c>
      <c r="D70" s="17">
        <v>69911836</v>
      </c>
      <c r="E70" s="10" t="s">
        <v>42</v>
      </c>
      <c r="F70" s="3" t="s">
        <v>386</v>
      </c>
      <c r="G70" s="5" t="s">
        <v>424</v>
      </c>
      <c r="H70" s="11" t="s">
        <v>8</v>
      </c>
      <c r="I70" s="2">
        <v>20</v>
      </c>
      <c r="J70" s="2">
        <v>18</v>
      </c>
      <c r="K70" s="2">
        <v>21</v>
      </c>
      <c r="L70" s="46" t="s">
        <v>424</v>
      </c>
      <c r="M70" s="46" t="s">
        <v>424</v>
      </c>
      <c r="N70" s="46" t="s">
        <v>424</v>
      </c>
    </row>
    <row r="71" spans="1:14" ht="15" hidden="1" customHeight="1">
      <c r="A71" s="2">
        <v>70</v>
      </c>
      <c r="B71" s="11" t="s">
        <v>77</v>
      </c>
      <c r="D71" s="17">
        <v>69938855</v>
      </c>
      <c r="E71" s="10" t="s">
        <v>42</v>
      </c>
      <c r="F71" s="3" t="s">
        <v>386</v>
      </c>
      <c r="G71" s="5" t="s">
        <v>426</v>
      </c>
      <c r="H71" s="11" t="s">
        <v>8</v>
      </c>
      <c r="I71" s="2">
        <v>29</v>
      </c>
      <c r="J71" s="2">
        <v>28</v>
      </c>
      <c r="K71" s="2">
        <v>32</v>
      </c>
      <c r="L71" s="46" t="s">
        <v>461</v>
      </c>
      <c r="M71" s="46" t="s">
        <v>461</v>
      </c>
      <c r="N71" s="46" t="s">
        <v>461</v>
      </c>
    </row>
    <row r="72" spans="1:14" ht="15" hidden="1" customHeight="1">
      <c r="A72" s="2">
        <v>71</v>
      </c>
      <c r="B72" s="11" t="s">
        <v>78</v>
      </c>
      <c r="D72" s="17">
        <v>69949426</v>
      </c>
      <c r="E72" s="10" t="s">
        <v>42</v>
      </c>
      <c r="F72" s="3" t="s">
        <v>386</v>
      </c>
      <c r="G72" s="5" t="s">
        <v>320</v>
      </c>
      <c r="H72" s="11" t="s">
        <v>8</v>
      </c>
      <c r="I72" s="2">
        <v>50</v>
      </c>
      <c r="J72" s="2">
        <v>22</v>
      </c>
      <c r="K72" s="2">
        <v>28</v>
      </c>
      <c r="L72" s="46" t="s">
        <v>414</v>
      </c>
      <c r="M72" s="46" t="s">
        <v>414</v>
      </c>
      <c r="N72" s="46" t="s">
        <v>414</v>
      </c>
    </row>
    <row r="73" spans="1:14" ht="15" hidden="1" customHeight="1">
      <c r="A73" s="2">
        <v>72</v>
      </c>
      <c r="B73" s="11" t="s">
        <v>79</v>
      </c>
      <c r="D73" s="17">
        <v>69823640</v>
      </c>
      <c r="E73" s="10" t="s">
        <v>42</v>
      </c>
      <c r="F73" s="3" t="s">
        <v>386</v>
      </c>
      <c r="G73" s="5" t="s">
        <v>421</v>
      </c>
      <c r="H73" s="11" t="s">
        <v>8</v>
      </c>
      <c r="I73" s="2">
        <v>48</v>
      </c>
      <c r="J73" s="2">
        <v>48</v>
      </c>
      <c r="K73" s="2">
        <v>55</v>
      </c>
      <c r="L73" s="3" t="s">
        <v>441</v>
      </c>
      <c r="M73" s="3" t="s">
        <v>441</v>
      </c>
      <c r="N73" s="3" t="s">
        <v>441</v>
      </c>
    </row>
    <row r="74" spans="1:14" ht="15" hidden="1" customHeight="1">
      <c r="A74" s="2">
        <v>73</v>
      </c>
      <c r="B74" s="11" t="s">
        <v>80</v>
      </c>
      <c r="D74" s="17">
        <v>69915088</v>
      </c>
      <c r="E74" s="10" t="s">
        <v>42</v>
      </c>
      <c r="F74" s="3" t="s">
        <v>386</v>
      </c>
      <c r="G74" s="5" t="s">
        <v>421</v>
      </c>
      <c r="H74" s="11" t="s">
        <v>8</v>
      </c>
      <c r="I74" s="2">
        <v>26</v>
      </c>
      <c r="J74" s="2">
        <v>20</v>
      </c>
      <c r="K74" s="2">
        <v>24</v>
      </c>
      <c r="L74" s="3" t="s">
        <v>441</v>
      </c>
      <c r="M74" s="3" t="s">
        <v>441</v>
      </c>
      <c r="N74" s="3" t="s">
        <v>441</v>
      </c>
    </row>
    <row r="75" spans="1:14" ht="15" hidden="1" customHeight="1">
      <c r="A75" s="2">
        <v>74</v>
      </c>
      <c r="B75" s="11" t="s">
        <v>81</v>
      </c>
      <c r="D75" s="17">
        <v>69923928</v>
      </c>
      <c r="E75" s="10" t="s">
        <v>42</v>
      </c>
      <c r="F75" s="3" t="s">
        <v>386</v>
      </c>
      <c r="G75" s="5" t="s">
        <v>421</v>
      </c>
      <c r="H75" s="11" t="s">
        <v>8</v>
      </c>
      <c r="I75" s="2">
        <v>26</v>
      </c>
      <c r="J75" s="2">
        <v>27</v>
      </c>
      <c r="K75" s="2">
        <v>27</v>
      </c>
      <c r="L75" s="46" t="s">
        <v>464</v>
      </c>
      <c r="M75" s="46" t="s">
        <v>464</v>
      </c>
      <c r="N75" s="46" t="s">
        <v>464</v>
      </c>
    </row>
    <row r="76" spans="1:14" ht="15" hidden="1" customHeight="1">
      <c r="A76" s="2">
        <v>75</v>
      </c>
      <c r="B76" s="11" t="s">
        <v>82</v>
      </c>
      <c r="D76" s="17">
        <v>69913689</v>
      </c>
      <c r="E76" s="10" t="s">
        <v>42</v>
      </c>
      <c r="F76" s="3" t="s">
        <v>386</v>
      </c>
      <c r="G76" s="5" t="s">
        <v>414</v>
      </c>
      <c r="H76" s="11" t="s">
        <v>8</v>
      </c>
      <c r="I76" s="2">
        <v>65</v>
      </c>
      <c r="J76" s="2">
        <v>25</v>
      </c>
      <c r="K76" s="2">
        <v>30</v>
      </c>
      <c r="L76" s="11" t="s">
        <v>461</v>
      </c>
      <c r="M76" s="11" t="s">
        <v>414</v>
      </c>
      <c r="N76" s="46" t="s">
        <v>414</v>
      </c>
    </row>
    <row r="77" spans="1:14" ht="15" hidden="1" customHeight="1">
      <c r="A77" s="2">
        <v>76</v>
      </c>
      <c r="B77" s="11" t="s">
        <v>83</v>
      </c>
      <c r="D77" s="17">
        <v>69823720</v>
      </c>
      <c r="E77" s="10" t="s">
        <v>84</v>
      </c>
      <c r="F77" s="3" t="s">
        <v>386</v>
      </c>
      <c r="G77" s="5" t="s">
        <v>422</v>
      </c>
      <c r="H77" s="11" t="s">
        <v>8</v>
      </c>
      <c r="I77" s="2">
        <v>39</v>
      </c>
      <c r="J77" s="2">
        <v>36</v>
      </c>
      <c r="K77" s="2">
        <v>41</v>
      </c>
      <c r="L77" s="3" t="s">
        <v>461</v>
      </c>
      <c r="M77" s="3" t="s">
        <v>461</v>
      </c>
      <c r="N77" s="3" t="s">
        <v>461</v>
      </c>
    </row>
    <row r="78" spans="1:14" ht="15" hidden="1" customHeight="1">
      <c r="A78" s="2">
        <v>77</v>
      </c>
      <c r="B78" s="11" t="s">
        <v>85</v>
      </c>
      <c r="D78" s="17">
        <v>69943792</v>
      </c>
      <c r="E78" s="10" t="s">
        <v>84</v>
      </c>
      <c r="F78" s="3" t="s">
        <v>386</v>
      </c>
      <c r="G78" s="5" t="s">
        <v>349</v>
      </c>
      <c r="H78" s="11" t="s">
        <v>8</v>
      </c>
      <c r="I78" s="2">
        <v>21</v>
      </c>
      <c r="J78" s="2">
        <v>21</v>
      </c>
      <c r="K78" s="2">
        <v>26</v>
      </c>
      <c r="L78" s="3" t="s">
        <v>460</v>
      </c>
      <c r="M78" s="3" t="s">
        <v>460</v>
      </c>
      <c r="N78" s="3" t="s">
        <v>460</v>
      </c>
    </row>
    <row r="79" spans="1:14" ht="15" hidden="1" customHeight="1">
      <c r="A79" s="2">
        <v>78</v>
      </c>
      <c r="B79" s="11" t="s">
        <v>86</v>
      </c>
      <c r="D79" s="17">
        <v>69823822</v>
      </c>
      <c r="E79" s="10" t="s">
        <v>84</v>
      </c>
      <c r="F79" s="3" t="s">
        <v>386</v>
      </c>
      <c r="G79" s="5" t="s">
        <v>422</v>
      </c>
      <c r="H79" s="11" t="s">
        <v>8</v>
      </c>
      <c r="I79" s="2">
        <v>32</v>
      </c>
      <c r="J79" s="2">
        <v>40</v>
      </c>
      <c r="K79" s="2">
        <v>43</v>
      </c>
      <c r="L79" s="3" t="s">
        <v>461</v>
      </c>
      <c r="M79" s="3" t="s">
        <v>462</v>
      </c>
      <c r="N79" s="3" t="s">
        <v>462</v>
      </c>
    </row>
    <row r="80" spans="1:14" ht="15" hidden="1" customHeight="1">
      <c r="A80" s="60">
        <v>79</v>
      </c>
      <c r="B80" s="55" t="s">
        <v>87</v>
      </c>
      <c r="C80" s="55"/>
      <c r="D80" s="57">
        <v>69823738</v>
      </c>
      <c r="E80" s="58" t="s">
        <v>84</v>
      </c>
      <c r="F80" s="56" t="s">
        <v>386</v>
      </c>
      <c r="G80" s="59" t="s">
        <v>419</v>
      </c>
      <c r="H80" s="55" t="s">
        <v>8</v>
      </c>
      <c r="I80" s="60">
        <v>24</v>
      </c>
      <c r="J80" s="60">
        <v>29</v>
      </c>
      <c r="K80" s="60">
        <v>34</v>
      </c>
      <c r="L80" s="55" t="s">
        <v>469</v>
      </c>
      <c r="M80" s="55" t="s">
        <v>418</v>
      </c>
      <c r="N80" s="56" t="s">
        <v>519</v>
      </c>
    </row>
    <row r="81" spans="1:14" ht="15" hidden="1" customHeight="1">
      <c r="A81" s="2">
        <v>80</v>
      </c>
      <c r="B81" s="11" t="s">
        <v>88</v>
      </c>
      <c r="D81" s="17">
        <v>69911085</v>
      </c>
      <c r="E81" s="10" t="s">
        <v>84</v>
      </c>
      <c r="F81" s="3" t="s">
        <v>386</v>
      </c>
      <c r="G81" s="5" t="s">
        <v>419</v>
      </c>
      <c r="H81" s="11" t="s">
        <v>8</v>
      </c>
      <c r="I81" s="2">
        <v>20</v>
      </c>
      <c r="J81" s="2"/>
      <c r="K81" s="2"/>
      <c r="L81" s="46"/>
      <c r="M81" s="46"/>
    </row>
    <row r="82" spans="1:14" ht="15" hidden="1" customHeight="1">
      <c r="A82" s="2">
        <v>81</v>
      </c>
      <c r="B82" s="11" t="s">
        <v>89</v>
      </c>
      <c r="D82" s="17">
        <v>69911303</v>
      </c>
      <c r="E82" s="10" t="s">
        <v>84</v>
      </c>
      <c r="F82" s="3" t="s">
        <v>386</v>
      </c>
      <c r="G82" s="5" t="s">
        <v>421</v>
      </c>
      <c r="H82" s="11" t="s">
        <v>8</v>
      </c>
      <c r="I82" s="2">
        <v>56</v>
      </c>
      <c r="J82" s="2">
        <v>56</v>
      </c>
      <c r="K82" s="2">
        <v>56</v>
      </c>
      <c r="L82" s="46" t="s">
        <v>464</v>
      </c>
      <c r="M82" s="46" t="s">
        <v>464</v>
      </c>
      <c r="N82" s="46" t="s">
        <v>464</v>
      </c>
    </row>
    <row r="83" spans="1:14" ht="15" customHeight="1">
      <c r="A83" s="2">
        <v>82</v>
      </c>
      <c r="B83" s="11" t="s">
        <v>83</v>
      </c>
      <c r="D83" s="17">
        <v>69943152</v>
      </c>
      <c r="E83" s="45" t="s">
        <v>84</v>
      </c>
      <c r="F83" s="3" t="s">
        <v>386</v>
      </c>
      <c r="G83" s="5" t="s">
        <v>419</v>
      </c>
      <c r="H83" s="11" t="s">
        <v>8</v>
      </c>
      <c r="I83" s="2">
        <v>32</v>
      </c>
      <c r="J83" s="2">
        <v>32</v>
      </c>
      <c r="K83" s="2">
        <v>35</v>
      </c>
      <c r="L83" s="46" t="s">
        <v>469</v>
      </c>
      <c r="M83" s="46" t="s">
        <v>469</v>
      </c>
      <c r="N83" s="46" t="s">
        <v>469</v>
      </c>
    </row>
    <row r="84" spans="1:14" hidden="1">
      <c r="A84" s="2">
        <v>83</v>
      </c>
      <c r="B84" s="11" t="s">
        <v>90</v>
      </c>
      <c r="C84" s="29">
        <v>3</v>
      </c>
      <c r="D84" s="17">
        <v>69918708</v>
      </c>
      <c r="E84" s="45" t="s">
        <v>84</v>
      </c>
      <c r="F84" s="3" t="s">
        <v>386</v>
      </c>
      <c r="G84" s="5" t="s">
        <v>427</v>
      </c>
      <c r="H84" s="11" t="s">
        <v>8</v>
      </c>
      <c r="I84" s="2">
        <v>34</v>
      </c>
      <c r="J84" s="2">
        <v>36</v>
      </c>
      <c r="K84" s="2">
        <v>40</v>
      </c>
      <c r="L84" s="46" t="s">
        <v>469</v>
      </c>
      <c r="M84" s="3" t="s">
        <v>465</v>
      </c>
      <c r="N84" s="3" t="s">
        <v>427</v>
      </c>
    </row>
    <row r="85" spans="1:14" ht="15" hidden="1" customHeight="1">
      <c r="A85" s="2">
        <v>84</v>
      </c>
      <c r="B85" s="11" t="s">
        <v>91</v>
      </c>
      <c r="D85" s="17">
        <v>69823759</v>
      </c>
      <c r="E85" s="45" t="s">
        <v>84</v>
      </c>
      <c r="F85" s="3" t="s">
        <v>386</v>
      </c>
      <c r="G85" s="5" t="s">
        <v>414</v>
      </c>
      <c r="H85" s="11" t="s">
        <v>8</v>
      </c>
      <c r="I85" s="2">
        <v>43</v>
      </c>
      <c r="J85" s="2">
        <v>46</v>
      </c>
      <c r="K85" s="2">
        <v>54</v>
      </c>
      <c r="L85" s="46" t="s">
        <v>414</v>
      </c>
      <c r="M85" s="46" t="s">
        <v>414</v>
      </c>
      <c r="N85" s="46" t="s">
        <v>414</v>
      </c>
    </row>
    <row r="86" spans="1:14" ht="15" hidden="1" customHeight="1">
      <c r="A86" s="2">
        <v>85</v>
      </c>
      <c r="B86" s="11" t="s">
        <v>92</v>
      </c>
      <c r="D86" s="17">
        <v>69943165</v>
      </c>
      <c r="E86" s="45" t="s">
        <v>84</v>
      </c>
      <c r="F86" s="3" t="s">
        <v>386</v>
      </c>
      <c r="G86" s="5" t="s">
        <v>415</v>
      </c>
      <c r="H86" s="11" t="s">
        <v>8</v>
      </c>
      <c r="I86" s="2">
        <v>33</v>
      </c>
      <c r="J86" s="2">
        <v>22</v>
      </c>
      <c r="K86" s="2">
        <v>27</v>
      </c>
      <c r="L86" s="46" t="s">
        <v>415</v>
      </c>
      <c r="M86" s="46" t="s">
        <v>431</v>
      </c>
      <c r="N86" s="67" t="s">
        <v>465</v>
      </c>
    </row>
    <row r="87" spans="1:14" ht="15" hidden="1" customHeight="1">
      <c r="A87" s="2">
        <v>86</v>
      </c>
      <c r="B87" s="46" t="s">
        <v>93</v>
      </c>
      <c r="C87" s="46"/>
      <c r="D87" s="17">
        <v>69823697</v>
      </c>
      <c r="E87" s="10" t="s">
        <v>84</v>
      </c>
      <c r="F87" s="3" t="s">
        <v>386</v>
      </c>
      <c r="G87" s="5" t="s">
        <v>415</v>
      </c>
      <c r="H87" s="11" t="s">
        <v>8</v>
      </c>
      <c r="I87" s="2">
        <v>17</v>
      </c>
      <c r="J87" s="2">
        <v>14</v>
      </c>
      <c r="K87" s="2">
        <v>16</v>
      </c>
      <c r="L87" s="46" t="s">
        <v>415</v>
      </c>
      <c r="M87" s="46" t="s">
        <v>415</v>
      </c>
      <c r="N87" s="46" t="s">
        <v>415</v>
      </c>
    </row>
    <row r="88" spans="1:14" ht="15" hidden="1" customHeight="1">
      <c r="A88" s="2">
        <v>87</v>
      </c>
      <c r="B88" s="11" t="s">
        <v>94</v>
      </c>
      <c r="D88" s="17">
        <v>69823701</v>
      </c>
      <c r="E88" s="10" t="s">
        <v>84</v>
      </c>
      <c r="F88" s="3" t="s">
        <v>386</v>
      </c>
      <c r="G88" s="5" t="s">
        <v>426</v>
      </c>
      <c r="H88" s="11" t="s">
        <v>8</v>
      </c>
      <c r="I88" s="2">
        <v>42</v>
      </c>
      <c r="J88" s="2">
        <v>23</v>
      </c>
      <c r="K88" s="2">
        <v>26</v>
      </c>
      <c r="L88" s="11" t="s">
        <v>461</v>
      </c>
      <c r="M88" s="11" t="s">
        <v>461</v>
      </c>
      <c r="N88" s="46" t="s">
        <v>461</v>
      </c>
    </row>
    <row r="89" spans="1:14" ht="15" hidden="1" customHeight="1">
      <c r="A89" s="2">
        <v>88</v>
      </c>
      <c r="B89" s="11" t="s">
        <v>95</v>
      </c>
      <c r="D89" s="17">
        <v>69823674</v>
      </c>
      <c r="E89" s="10" t="s">
        <v>84</v>
      </c>
      <c r="F89" s="3" t="s">
        <v>386</v>
      </c>
      <c r="G89" s="5" t="s">
        <v>414</v>
      </c>
      <c r="H89" s="11" t="s">
        <v>8</v>
      </c>
      <c r="I89" s="2">
        <v>29</v>
      </c>
      <c r="J89" s="2">
        <v>20</v>
      </c>
      <c r="K89" s="2">
        <v>23</v>
      </c>
      <c r="L89" s="11" t="s">
        <v>461</v>
      </c>
      <c r="M89" s="11" t="s">
        <v>414</v>
      </c>
      <c r="N89" s="46" t="s">
        <v>414</v>
      </c>
    </row>
    <row r="90" spans="1:14" ht="15" hidden="1" customHeight="1">
      <c r="A90" s="2">
        <v>89</v>
      </c>
      <c r="B90" s="67" t="s">
        <v>96</v>
      </c>
      <c r="C90" s="67"/>
      <c r="D90" s="17">
        <v>70034616</v>
      </c>
      <c r="E90" s="66" t="s">
        <v>84</v>
      </c>
      <c r="F90" s="3" t="s">
        <v>386</v>
      </c>
      <c r="G90" s="5" t="s">
        <v>416</v>
      </c>
      <c r="H90" s="67" t="s">
        <v>8</v>
      </c>
      <c r="I90" s="2">
        <v>54</v>
      </c>
      <c r="J90" s="2">
        <v>57</v>
      </c>
      <c r="K90" s="2">
        <v>59</v>
      </c>
      <c r="L90" s="67" t="s">
        <v>418</v>
      </c>
      <c r="M90" s="67" t="s">
        <v>418</v>
      </c>
      <c r="N90" s="67" t="s">
        <v>418</v>
      </c>
    </row>
    <row r="91" spans="1:14" ht="15" hidden="1" customHeight="1">
      <c r="A91" s="2">
        <v>90</v>
      </c>
      <c r="B91" s="11" t="s">
        <v>97</v>
      </c>
      <c r="D91" s="17">
        <v>20204307</v>
      </c>
      <c r="E91" s="10" t="s">
        <v>98</v>
      </c>
      <c r="F91" s="3" t="s">
        <v>386</v>
      </c>
      <c r="G91" s="5" t="s">
        <v>416</v>
      </c>
      <c r="H91" s="11" t="s">
        <v>99</v>
      </c>
      <c r="I91" s="2">
        <v>202</v>
      </c>
      <c r="J91" s="2">
        <v>227</v>
      </c>
      <c r="K91" s="2">
        <v>241</v>
      </c>
      <c r="L91" s="11" t="s">
        <v>468</v>
      </c>
      <c r="M91" s="11" t="s">
        <v>464</v>
      </c>
      <c r="N91" s="46" t="s">
        <v>464</v>
      </c>
    </row>
    <row r="92" spans="1:14" ht="15" hidden="1" customHeight="1">
      <c r="A92" s="2">
        <v>91</v>
      </c>
      <c r="B92" s="11" t="s">
        <v>100</v>
      </c>
      <c r="D92" s="17">
        <v>20204308</v>
      </c>
      <c r="E92" s="10" t="s">
        <v>98</v>
      </c>
      <c r="F92" s="3" t="s">
        <v>386</v>
      </c>
      <c r="G92" s="5" t="s">
        <v>416</v>
      </c>
      <c r="H92" s="11" t="s">
        <v>99</v>
      </c>
      <c r="I92" s="2">
        <v>211</v>
      </c>
      <c r="J92" s="2">
        <v>211</v>
      </c>
      <c r="K92" s="2">
        <v>211</v>
      </c>
      <c r="L92" s="11" t="s">
        <v>493</v>
      </c>
      <c r="M92" s="11" t="s">
        <v>464</v>
      </c>
      <c r="N92" s="46" t="s">
        <v>464</v>
      </c>
    </row>
    <row r="93" spans="1:14" ht="15" hidden="1" customHeight="1">
      <c r="A93" s="2">
        <v>92</v>
      </c>
      <c r="B93" s="11" t="s">
        <v>101</v>
      </c>
      <c r="D93" s="17">
        <v>20204322</v>
      </c>
      <c r="E93" s="10" t="s">
        <v>98</v>
      </c>
      <c r="F93" s="3" t="s">
        <v>386</v>
      </c>
      <c r="G93" s="5" t="s">
        <v>416</v>
      </c>
      <c r="H93" s="11" t="s">
        <v>99</v>
      </c>
      <c r="I93" s="2">
        <v>236</v>
      </c>
      <c r="J93" s="2">
        <v>236</v>
      </c>
      <c r="K93" s="2">
        <v>246</v>
      </c>
      <c r="L93" s="11" t="s">
        <v>469</v>
      </c>
      <c r="M93" s="11" t="s">
        <v>464</v>
      </c>
      <c r="N93" s="3" t="s">
        <v>518</v>
      </c>
    </row>
    <row r="94" spans="1:14" ht="15" hidden="1" customHeight="1">
      <c r="A94" s="2">
        <v>93</v>
      </c>
      <c r="B94" s="11" t="s">
        <v>102</v>
      </c>
      <c r="D94" s="17">
        <v>20204331</v>
      </c>
      <c r="E94" s="10" t="s">
        <v>98</v>
      </c>
      <c r="F94" s="3" t="s">
        <v>386</v>
      </c>
      <c r="G94" s="5" t="s">
        <v>414</v>
      </c>
      <c r="H94" s="11" t="s">
        <v>99</v>
      </c>
      <c r="I94" s="2">
        <v>374</v>
      </c>
      <c r="J94" s="2">
        <v>386</v>
      </c>
      <c r="K94" s="2">
        <v>405</v>
      </c>
      <c r="L94" s="3" t="s">
        <v>468</v>
      </c>
      <c r="M94" s="3" t="s">
        <v>468</v>
      </c>
      <c r="N94" s="3" t="s">
        <v>468</v>
      </c>
    </row>
    <row r="95" spans="1:14" ht="15" hidden="1" customHeight="1">
      <c r="A95" s="2">
        <v>94</v>
      </c>
      <c r="B95" s="55" t="s">
        <v>103</v>
      </c>
      <c r="D95" s="17">
        <v>20204250</v>
      </c>
      <c r="E95" s="10" t="s">
        <v>98</v>
      </c>
      <c r="F95" s="3" t="s">
        <v>386</v>
      </c>
      <c r="G95" s="5" t="s">
        <v>349</v>
      </c>
      <c r="H95" s="11" t="s">
        <v>99</v>
      </c>
      <c r="I95" s="2">
        <v>455</v>
      </c>
      <c r="J95" s="2">
        <v>462</v>
      </c>
      <c r="K95" s="2">
        <v>482</v>
      </c>
      <c r="L95" s="3" t="s">
        <v>442</v>
      </c>
      <c r="M95" s="3" t="s">
        <v>442</v>
      </c>
      <c r="N95" s="3" t="s">
        <v>442</v>
      </c>
    </row>
    <row r="96" spans="1:14" ht="15" hidden="1" customHeight="1">
      <c r="A96" s="2">
        <v>95</v>
      </c>
      <c r="B96" s="55" t="s">
        <v>104</v>
      </c>
      <c r="D96" s="17">
        <v>20204251</v>
      </c>
      <c r="E96" s="41" t="s">
        <v>98</v>
      </c>
      <c r="F96" s="3" t="s">
        <v>386</v>
      </c>
      <c r="G96" s="5" t="s">
        <v>320</v>
      </c>
      <c r="H96" s="11" t="s">
        <v>99</v>
      </c>
      <c r="I96" s="2">
        <v>634</v>
      </c>
      <c r="J96" s="2">
        <v>643</v>
      </c>
      <c r="K96" s="2">
        <v>674</v>
      </c>
      <c r="L96" s="29" t="s">
        <v>439</v>
      </c>
      <c r="M96" s="3" t="s">
        <v>439</v>
      </c>
      <c r="N96" s="3" t="s">
        <v>439</v>
      </c>
    </row>
    <row r="97" spans="1:14" ht="15" hidden="1" customHeight="1">
      <c r="A97" s="2">
        <v>96</v>
      </c>
      <c r="B97" s="11" t="s">
        <v>105</v>
      </c>
      <c r="D97" s="17">
        <v>20204252</v>
      </c>
      <c r="E97" s="10" t="s">
        <v>98</v>
      </c>
      <c r="F97" s="3" t="s">
        <v>386</v>
      </c>
      <c r="G97" s="5" t="s">
        <v>320</v>
      </c>
      <c r="H97" s="11" t="s">
        <v>99</v>
      </c>
      <c r="I97" s="2">
        <v>155</v>
      </c>
      <c r="J97" s="2">
        <v>157</v>
      </c>
      <c r="K97" s="2">
        <v>168</v>
      </c>
      <c r="L97" s="11" t="s">
        <v>460</v>
      </c>
      <c r="M97" s="11" t="s">
        <v>442</v>
      </c>
      <c r="N97" s="3" t="s">
        <v>465</v>
      </c>
    </row>
    <row r="98" spans="1:14" ht="15" hidden="1" customHeight="1">
      <c r="A98" s="2">
        <v>97</v>
      </c>
      <c r="B98" s="55" t="s">
        <v>106</v>
      </c>
      <c r="C98" s="29">
        <v>1</v>
      </c>
      <c r="D98" s="17">
        <v>20204253</v>
      </c>
      <c r="E98" s="41" t="s">
        <v>98</v>
      </c>
      <c r="F98" s="3" t="s">
        <v>386</v>
      </c>
      <c r="G98" s="5" t="s">
        <v>320</v>
      </c>
      <c r="H98" s="11" t="s">
        <v>99</v>
      </c>
      <c r="I98" s="2">
        <v>600</v>
      </c>
      <c r="J98" s="2">
        <v>605</v>
      </c>
      <c r="K98" s="2">
        <v>631</v>
      </c>
      <c r="L98" s="3" t="s">
        <v>440</v>
      </c>
      <c r="M98" s="3" t="s">
        <v>442</v>
      </c>
      <c r="N98" s="3" t="s">
        <v>442</v>
      </c>
    </row>
    <row r="99" spans="1:14" s="14" customFormat="1" ht="15" hidden="1" customHeight="1">
      <c r="A99" s="18">
        <v>98</v>
      </c>
      <c r="B99" s="14" t="s">
        <v>107</v>
      </c>
      <c r="D99" s="19">
        <v>20204254</v>
      </c>
      <c r="E99" s="25" t="s">
        <v>98</v>
      </c>
      <c r="F99" s="20" t="s">
        <v>386</v>
      </c>
      <c r="G99" s="21" t="s">
        <v>320</v>
      </c>
      <c r="H99" s="14" t="s">
        <v>99</v>
      </c>
      <c r="I99" s="18">
        <v>0</v>
      </c>
      <c r="J99" s="18"/>
      <c r="K99" s="18"/>
    </row>
    <row r="100" spans="1:14" ht="15" hidden="1" customHeight="1">
      <c r="A100" s="2">
        <v>99</v>
      </c>
      <c r="B100" s="11" t="s">
        <v>108</v>
      </c>
      <c r="D100" s="17">
        <v>20204990</v>
      </c>
      <c r="E100" s="10" t="s">
        <v>98</v>
      </c>
      <c r="F100" s="3" t="s">
        <v>386</v>
      </c>
      <c r="G100" s="5" t="s">
        <v>421</v>
      </c>
      <c r="H100" s="11" t="s">
        <v>99</v>
      </c>
      <c r="I100" s="2">
        <v>532</v>
      </c>
      <c r="J100" s="2">
        <v>532</v>
      </c>
      <c r="K100" s="2">
        <v>532</v>
      </c>
      <c r="L100" s="11" t="s">
        <v>464</v>
      </c>
      <c r="M100" s="11" t="s">
        <v>464</v>
      </c>
      <c r="N100" s="46" t="s">
        <v>464</v>
      </c>
    </row>
    <row r="101" spans="1:14" ht="15" hidden="1" customHeight="1">
      <c r="A101" s="2">
        <v>100</v>
      </c>
      <c r="B101" s="11" t="s">
        <v>109</v>
      </c>
      <c r="D101" s="17">
        <v>20204973</v>
      </c>
      <c r="E101" s="10" t="s">
        <v>98</v>
      </c>
      <c r="F101" s="3" t="s">
        <v>386</v>
      </c>
      <c r="G101" s="5" t="s">
        <v>417</v>
      </c>
      <c r="H101" s="11" t="s">
        <v>99</v>
      </c>
      <c r="I101" s="2">
        <v>220</v>
      </c>
      <c r="J101" s="2">
        <v>220</v>
      </c>
      <c r="K101" s="2">
        <v>220</v>
      </c>
      <c r="L101" s="11" t="s">
        <v>493</v>
      </c>
      <c r="M101" s="11" t="s">
        <v>417</v>
      </c>
      <c r="N101" s="46" t="s">
        <v>417</v>
      </c>
    </row>
    <row r="102" spans="1:14" ht="15" hidden="1" customHeight="1">
      <c r="A102" s="2">
        <v>101</v>
      </c>
      <c r="B102" s="11" t="s">
        <v>110</v>
      </c>
      <c r="D102" s="17">
        <v>20205021</v>
      </c>
      <c r="E102" s="45" t="s">
        <v>98</v>
      </c>
      <c r="F102" s="3" t="s">
        <v>386</v>
      </c>
      <c r="G102" s="5" t="s">
        <v>417</v>
      </c>
      <c r="H102" s="11" t="s">
        <v>99</v>
      </c>
      <c r="I102" s="2">
        <v>250</v>
      </c>
      <c r="J102" s="2">
        <v>254</v>
      </c>
      <c r="K102" s="2">
        <v>264</v>
      </c>
      <c r="L102" s="11" t="s">
        <v>417</v>
      </c>
      <c r="M102" s="11" t="s">
        <v>417</v>
      </c>
      <c r="N102" s="46" t="s">
        <v>519</v>
      </c>
    </row>
    <row r="103" spans="1:14" ht="15" hidden="1" customHeight="1">
      <c r="A103" s="2">
        <v>102</v>
      </c>
      <c r="B103" s="11" t="s">
        <v>111</v>
      </c>
      <c r="D103" s="17">
        <v>20205001</v>
      </c>
      <c r="E103" s="45" t="s">
        <v>98</v>
      </c>
      <c r="F103" s="3" t="s">
        <v>386</v>
      </c>
      <c r="G103" s="5" t="s">
        <v>426</v>
      </c>
      <c r="H103" s="11" t="s">
        <v>99</v>
      </c>
      <c r="I103" s="2">
        <v>133</v>
      </c>
      <c r="J103" s="2">
        <v>142</v>
      </c>
      <c r="K103" s="2">
        <v>152</v>
      </c>
      <c r="L103" s="3" t="s">
        <v>440</v>
      </c>
      <c r="M103" s="3" t="s">
        <v>440</v>
      </c>
      <c r="N103" s="3" t="s">
        <v>440</v>
      </c>
    </row>
    <row r="104" spans="1:14" ht="15" hidden="1" customHeight="1">
      <c r="A104" s="2">
        <v>103</v>
      </c>
      <c r="B104" s="42" t="s">
        <v>240</v>
      </c>
      <c r="D104" s="17">
        <v>20204921</v>
      </c>
      <c r="E104" s="45" t="s">
        <v>98</v>
      </c>
      <c r="F104" s="3" t="s">
        <v>386</v>
      </c>
      <c r="G104" s="5" t="s">
        <v>425</v>
      </c>
      <c r="H104" s="11" t="s">
        <v>99</v>
      </c>
      <c r="I104" s="2">
        <v>112</v>
      </c>
      <c r="J104" s="2">
        <v>112</v>
      </c>
      <c r="K104" s="35">
        <v>112</v>
      </c>
      <c r="L104" s="11" t="s">
        <v>427</v>
      </c>
      <c r="M104" s="11" t="s">
        <v>427</v>
      </c>
      <c r="N104" s="46" t="s">
        <v>427</v>
      </c>
    </row>
    <row r="105" spans="1:14" ht="15" hidden="1" customHeight="1">
      <c r="A105" s="2">
        <v>104</v>
      </c>
      <c r="B105" s="11" t="s">
        <v>112</v>
      </c>
      <c r="D105" s="17">
        <v>20204968</v>
      </c>
      <c r="E105" s="45" t="s">
        <v>98</v>
      </c>
      <c r="F105" s="3" t="s">
        <v>386</v>
      </c>
      <c r="G105" s="5" t="s">
        <v>417</v>
      </c>
      <c r="H105" s="11" t="s">
        <v>99</v>
      </c>
      <c r="I105" s="2">
        <v>283</v>
      </c>
      <c r="J105" s="2">
        <v>289</v>
      </c>
      <c r="K105" s="2">
        <v>303</v>
      </c>
      <c r="L105" s="11" t="s">
        <v>417</v>
      </c>
      <c r="M105" s="11" t="s">
        <v>417</v>
      </c>
      <c r="N105" s="46" t="s">
        <v>417</v>
      </c>
    </row>
    <row r="106" spans="1:14" ht="15" hidden="1" customHeight="1">
      <c r="A106" s="2">
        <v>105</v>
      </c>
      <c r="B106" s="11" t="s">
        <v>113</v>
      </c>
      <c r="D106" s="17">
        <v>20204949</v>
      </c>
      <c r="E106" s="45" t="s">
        <v>98</v>
      </c>
      <c r="F106" s="3" t="s">
        <v>386</v>
      </c>
      <c r="G106" s="5" t="s">
        <v>423</v>
      </c>
      <c r="H106" s="11" t="s">
        <v>99</v>
      </c>
      <c r="I106" s="2">
        <v>205</v>
      </c>
      <c r="J106" s="2">
        <v>205</v>
      </c>
      <c r="K106" s="2">
        <v>218</v>
      </c>
      <c r="L106" s="3" t="s">
        <v>441</v>
      </c>
      <c r="M106" s="3" t="s">
        <v>441</v>
      </c>
      <c r="N106" s="3" t="s">
        <v>519</v>
      </c>
    </row>
    <row r="107" spans="1:14" ht="15" hidden="1" customHeight="1">
      <c r="A107" s="2">
        <v>106</v>
      </c>
      <c r="B107" s="11" t="s">
        <v>114</v>
      </c>
      <c r="D107" s="17">
        <v>20204675</v>
      </c>
      <c r="E107" s="10" t="s">
        <v>98</v>
      </c>
      <c r="F107" s="3" t="s">
        <v>386</v>
      </c>
      <c r="G107" s="5" t="s">
        <v>423</v>
      </c>
      <c r="H107" s="11" t="s">
        <v>99</v>
      </c>
      <c r="I107" s="2">
        <v>204</v>
      </c>
      <c r="J107" s="2">
        <v>205</v>
      </c>
      <c r="K107" s="2">
        <v>215</v>
      </c>
      <c r="L107" s="3" t="s">
        <v>440</v>
      </c>
      <c r="M107" s="3" t="s">
        <v>440</v>
      </c>
      <c r="N107" s="3" t="s">
        <v>440</v>
      </c>
    </row>
    <row r="108" spans="1:14" ht="15" customHeight="1">
      <c r="A108" s="2">
        <v>107</v>
      </c>
      <c r="B108" s="11" t="s">
        <v>115</v>
      </c>
      <c r="D108" s="17">
        <v>20204603</v>
      </c>
      <c r="E108" s="10" t="s">
        <v>98</v>
      </c>
      <c r="F108" s="3" t="s">
        <v>386</v>
      </c>
      <c r="G108" s="5" t="s">
        <v>419</v>
      </c>
      <c r="H108" s="11" t="s">
        <v>99</v>
      </c>
      <c r="I108" s="2">
        <v>320</v>
      </c>
      <c r="J108" s="2">
        <v>320</v>
      </c>
      <c r="K108" s="2">
        <v>334</v>
      </c>
      <c r="L108" s="46" t="s">
        <v>469</v>
      </c>
      <c r="M108" s="46" t="s">
        <v>469</v>
      </c>
      <c r="N108" s="46" t="s">
        <v>469</v>
      </c>
    </row>
    <row r="109" spans="1:14" ht="15" hidden="1" customHeight="1">
      <c r="A109" s="2">
        <v>108</v>
      </c>
      <c r="B109" s="11" t="s">
        <v>116</v>
      </c>
      <c r="D109" s="17">
        <v>20204595</v>
      </c>
      <c r="E109" s="10" t="s">
        <v>98</v>
      </c>
      <c r="F109" s="3" t="s">
        <v>386</v>
      </c>
      <c r="G109" s="5" t="s">
        <v>414</v>
      </c>
      <c r="H109" s="11" t="s">
        <v>99</v>
      </c>
      <c r="I109" s="2">
        <v>118</v>
      </c>
      <c r="J109" s="2">
        <v>119</v>
      </c>
      <c r="K109" s="2">
        <v>130</v>
      </c>
      <c r="L109" s="46" t="s">
        <v>414</v>
      </c>
      <c r="M109" s="46" t="s">
        <v>414</v>
      </c>
      <c r="N109" s="46" t="s">
        <v>414</v>
      </c>
    </row>
    <row r="110" spans="1:14" ht="15" hidden="1" customHeight="1">
      <c r="A110" s="2">
        <v>109</v>
      </c>
      <c r="B110" s="11" t="s">
        <v>117</v>
      </c>
      <c r="D110" s="17">
        <v>20204780</v>
      </c>
      <c r="E110" s="10" t="s">
        <v>98</v>
      </c>
      <c r="F110" s="3" t="s">
        <v>386</v>
      </c>
      <c r="G110" s="5" t="s">
        <v>419</v>
      </c>
      <c r="H110" s="11" t="s">
        <v>99</v>
      </c>
      <c r="I110" s="2">
        <v>192</v>
      </c>
      <c r="J110" s="2">
        <v>198</v>
      </c>
      <c r="K110" s="2">
        <v>210</v>
      </c>
      <c r="L110" s="3" t="s">
        <v>440</v>
      </c>
      <c r="M110" s="3" t="s">
        <v>440</v>
      </c>
      <c r="N110" s="3" t="s">
        <v>440</v>
      </c>
    </row>
    <row r="111" spans="1:14" ht="15" hidden="1" customHeight="1">
      <c r="A111" s="2">
        <v>110</v>
      </c>
      <c r="B111" s="11" t="s">
        <v>118</v>
      </c>
      <c r="D111" s="17">
        <v>20203551</v>
      </c>
      <c r="E111" s="66" t="s">
        <v>98</v>
      </c>
      <c r="F111" s="3" t="s">
        <v>386</v>
      </c>
      <c r="G111" s="5" t="s">
        <v>421</v>
      </c>
      <c r="H111" s="11" t="s">
        <v>99</v>
      </c>
      <c r="I111" s="2">
        <v>413</v>
      </c>
      <c r="J111" s="2">
        <v>418</v>
      </c>
      <c r="K111" s="2">
        <v>418</v>
      </c>
      <c r="L111" s="46" t="s">
        <v>464</v>
      </c>
      <c r="M111" s="46" t="s">
        <v>464</v>
      </c>
      <c r="N111" s="46" t="s">
        <v>464</v>
      </c>
    </row>
    <row r="112" spans="1:14" hidden="1">
      <c r="A112" s="2">
        <v>111</v>
      </c>
      <c r="B112" s="55" t="s">
        <v>119</v>
      </c>
      <c r="C112" s="29">
        <v>0</v>
      </c>
      <c r="D112" s="17">
        <v>20203578</v>
      </c>
      <c r="E112" s="28" t="s">
        <v>98</v>
      </c>
      <c r="F112" s="3" t="s">
        <v>386</v>
      </c>
      <c r="G112" s="5" t="s">
        <v>320</v>
      </c>
      <c r="H112" s="11" t="s">
        <v>99</v>
      </c>
      <c r="I112" s="2">
        <v>293</v>
      </c>
      <c r="J112" s="2">
        <v>295</v>
      </c>
      <c r="K112" s="2">
        <v>313</v>
      </c>
      <c r="L112" s="3" t="s">
        <v>442</v>
      </c>
      <c r="M112" s="3" t="s">
        <v>465</v>
      </c>
      <c r="N112" s="3" t="s">
        <v>465</v>
      </c>
    </row>
    <row r="113" spans="1:14" ht="15" hidden="1" customHeight="1">
      <c r="A113" s="2">
        <v>112</v>
      </c>
      <c r="B113" s="11" t="s">
        <v>120</v>
      </c>
      <c r="D113" s="17">
        <v>20204710</v>
      </c>
      <c r="E113" s="10" t="s">
        <v>98</v>
      </c>
      <c r="F113" s="3" t="s">
        <v>386</v>
      </c>
      <c r="G113" s="5" t="s">
        <v>414</v>
      </c>
      <c r="H113" s="11" t="s">
        <v>99</v>
      </c>
      <c r="I113" s="2">
        <v>154</v>
      </c>
      <c r="J113" s="2">
        <v>156</v>
      </c>
      <c r="K113" s="2">
        <v>167</v>
      </c>
      <c r="L113" s="46" t="s">
        <v>414</v>
      </c>
      <c r="M113" s="46" t="s">
        <v>414</v>
      </c>
      <c r="N113" s="46" t="s">
        <v>414</v>
      </c>
    </row>
    <row r="114" spans="1:14" ht="15" hidden="1" customHeight="1">
      <c r="A114" s="2">
        <v>113</v>
      </c>
      <c r="B114" s="42" t="s">
        <v>241</v>
      </c>
      <c r="D114" s="17">
        <v>20203476</v>
      </c>
      <c r="E114" s="45" t="s">
        <v>98</v>
      </c>
      <c r="F114" s="3" t="s">
        <v>386</v>
      </c>
      <c r="G114" s="5" t="s">
        <v>425</v>
      </c>
      <c r="H114" s="11" t="s">
        <v>99</v>
      </c>
      <c r="I114" s="2">
        <v>191</v>
      </c>
      <c r="J114" s="2">
        <v>193</v>
      </c>
      <c r="K114" s="2">
        <v>204</v>
      </c>
      <c r="L114" s="46" t="s">
        <v>469</v>
      </c>
      <c r="M114" s="46" t="s">
        <v>427</v>
      </c>
      <c r="N114" s="3" t="s">
        <v>427</v>
      </c>
    </row>
    <row r="115" spans="1:14" ht="15" hidden="1" customHeight="1">
      <c r="A115" s="2">
        <v>114</v>
      </c>
      <c r="B115" s="46" t="s">
        <v>121</v>
      </c>
      <c r="C115" s="46"/>
      <c r="D115" s="17">
        <v>20203524</v>
      </c>
      <c r="E115" s="10" t="s">
        <v>98</v>
      </c>
      <c r="F115" s="3" t="s">
        <v>386</v>
      </c>
      <c r="G115" s="5" t="s">
        <v>421</v>
      </c>
      <c r="H115" s="11" t="s">
        <v>99</v>
      </c>
      <c r="I115" s="2">
        <v>231</v>
      </c>
      <c r="J115" s="2">
        <v>235</v>
      </c>
      <c r="K115" s="2">
        <v>245</v>
      </c>
      <c r="L115" s="3" t="s">
        <v>441</v>
      </c>
      <c r="M115" s="3" t="s">
        <v>441</v>
      </c>
      <c r="N115" s="3" t="s">
        <v>441</v>
      </c>
    </row>
    <row r="116" spans="1:14" ht="15" hidden="1" customHeight="1">
      <c r="A116" s="2">
        <v>115</v>
      </c>
      <c r="B116" s="46" t="s">
        <v>122</v>
      </c>
      <c r="C116" s="46"/>
      <c r="D116" s="17">
        <v>20203525</v>
      </c>
      <c r="E116" s="10" t="s">
        <v>98</v>
      </c>
      <c r="F116" s="3" t="s">
        <v>386</v>
      </c>
      <c r="G116" s="5" t="s">
        <v>421</v>
      </c>
      <c r="H116" s="11" t="s">
        <v>99</v>
      </c>
      <c r="I116" s="2">
        <v>156</v>
      </c>
      <c r="J116" s="2">
        <v>158</v>
      </c>
      <c r="K116" s="2">
        <v>169</v>
      </c>
      <c r="L116" s="3" t="s">
        <v>441</v>
      </c>
      <c r="M116" s="3" t="s">
        <v>441</v>
      </c>
      <c r="N116" s="3" t="s">
        <v>441</v>
      </c>
    </row>
    <row r="117" spans="1:14" ht="15" hidden="1" customHeight="1">
      <c r="A117" s="2">
        <v>116</v>
      </c>
      <c r="B117" s="11" t="s">
        <v>123</v>
      </c>
      <c r="D117" s="17">
        <v>20203513</v>
      </c>
      <c r="E117" s="10" t="s">
        <v>98</v>
      </c>
      <c r="F117" s="3" t="s">
        <v>386</v>
      </c>
      <c r="G117" s="5" t="s">
        <v>415</v>
      </c>
      <c r="H117" s="11" t="s">
        <v>99</v>
      </c>
      <c r="I117" s="2">
        <v>689</v>
      </c>
      <c r="J117" s="2">
        <v>690</v>
      </c>
      <c r="K117" s="2">
        <v>712</v>
      </c>
      <c r="L117" s="46" t="s">
        <v>415</v>
      </c>
      <c r="M117" s="46" t="s">
        <v>431</v>
      </c>
      <c r="N117" s="46" t="s">
        <v>431</v>
      </c>
    </row>
    <row r="118" spans="1:14" ht="15" hidden="1" customHeight="1">
      <c r="A118" s="2">
        <v>117</v>
      </c>
      <c r="B118" s="11" t="s">
        <v>124</v>
      </c>
      <c r="D118" s="17">
        <v>20203527</v>
      </c>
      <c r="E118" s="10" t="s">
        <v>98</v>
      </c>
      <c r="F118" s="3" t="s">
        <v>386</v>
      </c>
      <c r="G118" s="5" t="s">
        <v>415</v>
      </c>
      <c r="H118" s="11" t="s">
        <v>99</v>
      </c>
      <c r="I118" s="2">
        <v>269</v>
      </c>
      <c r="J118" s="2">
        <v>271</v>
      </c>
      <c r="K118" s="2">
        <v>283</v>
      </c>
      <c r="L118" s="11" t="s">
        <v>415</v>
      </c>
      <c r="M118" s="11" t="s">
        <v>415</v>
      </c>
      <c r="N118" s="46" t="s">
        <v>415</v>
      </c>
    </row>
    <row r="119" spans="1:14" ht="15" hidden="1" customHeight="1">
      <c r="A119" s="2">
        <v>118</v>
      </c>
      <c r="B119" s="11" t="s">
        <v>125</v>
      </c>
      <c r="D119" s="17">
        <v>20203584</v>
      </c>
      <c r="E119" s="22" t="s">
        <v>98</v>
      </c>
      <c r="F119" s="3" t="s">
        <v>386</v>
      </c>
      <c r="G119" s="5" t="s">
        <v>415</v>
      </c>
      <c r="H119" s="11" t="s">
        <v>99</v>
      </c>
      <c r="I119" s="2">
        <v>262</v>
      </c>
      <c r="J119" s="2">
        <v>263</v>
      </c>
      <c r="K119" s="2">
        <v>280</v>
      </c>
      <c r="L119" s="11" t="s">
        <v>431</v>
      </c>
      <c r="M119" s="11" t="s">
        <v>431</v>
      </c>
      <c r="N119" s="46" t="s">
        <v>431</v>
      </c>
    </row>
    <row r="120" spans="1:14" ht="15" hidden="1" customHeight="1">
      <c r="A120" s="2">
        <v>119</v>
      </c>
      <c r="B120" s="55" t="s">
        <v>242</v>
      </c>
      <c r="C120" s="55"/>
      <c r="D120" s="57">
        <v>20203641</v>
      </c>
      <c r="E120" s="58" t="s">
        <v>98</v>
      </c>
      <c r="F120" s="56" t="s">
        <v>386</v>
      </c>
      <c r="G120" s="59" t="s">
        <v>425</v>
      </c>
      <c r="H120" s="55" t="s">
        <v>99</v>
      </c>
      <c r="I120" s="60">
        <v>120</v>
      </c>
      <c r="J120" s="60">
        <v>122</v>
      </c>
      <c r="K120" s="60">
        <v>130</v>
      </c>
      <c r="L120" s="55" t="s">
        <v>427</v>
      </c>
      <c r="M120" s="55" t="s">
        <v>427</v>
      </c>
      <c r="N120" s="56" t="s">
        <v>516</v>
      </c>
    </row>
    <row r="121" spans="1:14" ht="15" hidden="1" customHeight="1">
      <c r="A121" s="2">
        <v>120</v>
      </c>
      <c r="B121" s="55" t="s">
        <v>126</v>
      </c>
      <c r="C121" s="55"/>
      <c r="D121" s="57">
        <v>20203642</v>
      </c>
      <c r="E121" s="58" t="s">
        <v>98</v>
      </c>
      <c r="F121" s="56" t="s">
        <v>386</v>
      </c>
      <c r="G121" s="59" t="s">
        <v>425</v>
      </c>
      <c r="H121" s="55" t="s">
        <v>99</v>
      </c>
      <c r="I121" s="60">
        <v>217</v>
      </c>
      <c r="J121" s="60">
        <v>217</v>
      </c>
      <c r="K121" s="60">
        <v>228</v>
      </c>
      <c r="L121" s="55" t="s">
        <v>427</v>
      </c>
      <c r="M121" s="55" t="s">
        <v>427</v>
      </c>
      <c r="N121" s="56" t="s">
        <v>516</v>
      </c>
    </row>
    <row r="122" spans="1:14" ht="15" hidden="1" customHeight="1">
      <c r="A122" s="2">
        <v>121</v>
      </c>
      <c r="B122" s="55" t="s">
        <v>243</v>
      </c>
      <c r="D122" s="17">
        <v>20203687</v>
      </c>
      <c r="E122" s="10" t="s">
        <v>98</v>
      </c>
      <c r="F122" s="3" t="s">
        <v>386</v>
      </c>
      <c r="G122" s="5" t="s">
        <v>349</v>
      </c>
      <c r="H122" s="11" t="s">
        <v>99</v>
      </c>
      <c r="I122" s="2">
        <v>183</v>
      </c>
      <c r="J122" s="2">
        <v>186</v>
      </c>
      <c r="K122" s="2">
        <v>199</v>
      </c>
      <c r="L122" s="3" t="s">
        <v>434</v>
      </c>
      <c r="M122" s="3" t="s">
        <v>434</v>
      </c>
      <c r="N122" s="3" t="s">
        <v>465</v>
      </c>
    </row>
    <row r="123" spans="1:14" ht="15" hidden="1" customHeight="1">
      <c r="A123" s="2">
        <v>122</v>
      </c>
      <c r="B123" s="11" t="s">
        <v>127</v>
      </c>
      <c r="D123" s="17">
        <v>20203285</v>
      </c>
      <c r="E123" s="10" t="s">
        <v>98</v>
      </c>
      <c r="F123" s="3" t="s">
        <v>386</v>
      </c>
      <c r="G123" s="5" t="s">
        <v>419</v>
      </c>
      <c r="H123" s="11" t="s">
        <v>99</v>
      </c>
      <c r="I123" s="2">
        <v>211</v>
      </c>
      <c r="J123" s="2">
        <v>214</v>
      </c>
      <c r="K123" s="2">
        <v>226</v>
      </c>
      <c r="L123" s="3" t="s">
        <v>443</v>
      </c>
      <c r="M123" s="3" t="s">
        <v>443</v>
      </c>
      <c r="N123" s="3" t="s">
        <v>443</v>
      </c>
    </row>
    <row r="124" spans="1:14" ht="15" hidden="1" customHeight="1">
      <c r="A124" s="2">
        <v>123</v>
      </c>
      <c r="B124" s="11" t="s">
        <v>128</v>
      </c>
      <c r="D124" s="17">
        <v>20203286</v>
      </c>
      <c r="E124" s="10" t="s">
        <v>98</v>
      </c>
      <c r="F124" s="3" t="s">
        <v>386</v>
      </c>
      <c r="G124" s="5" t="s">
        <v>419</v>
      </c>
      <c r="H124" s="11" t="s">
        <v>99</v>
      </c>
      <c r="I124" s="2">
        <v>208</v>
      </c>
      <c r="J124" s="2">
        <v>211</v>
      </c>
      <c r="K124" s="2">
        <v>222</v>
      </c>
      <c r="L124" s="3" t="s">
        <v>443</v>
      </c>
      <c r="M124" s="3" t="s">
        <v>443</v>
      </c>
      <c r="N124" s="3" t="s">
        <v>443</v>
      </c>
    </row>
    <row r="125" spans="1:14" ht="15" hidden="1" customHeight="1">
      <c r="A125" s="2">
        <v>124</v>
      </c>
      <c r="B125" s="11" t="s">
        <v>129</v>
      </c>
      <c r="D125" s="17">
        <v>20203422</v>
      </c>
      <c r="E125" s="45" t="s">
        <v>98</v>
      </c>
      <c r="F125" s="3" t="s">
        <v>386</v>
      </c>
      <c r="G125" s="5" t="s">
        <v>349</v>
      </c>
      <c r="H125" s="11" t="s">
        <v>99</v>
      </c>
      <c r="I125" s="2">
        <v>218</v>
      </c>
      <c r="J125" s="2">
        <v>218</v>
      </c>
      <c r="K125" s="2">
        <v>229</v>
      </c>
      <c r="L125" s="11" t="s">
        <v>460</v>
      </c>
      <c r="M125" s="11" t="s">
        <v>460</v>
      </c>
      <c r="N125" s="46" t="s">
        <v>460</v>
      </c>
    </row>
    <row r="126" spans="1:14" ht="15" hidden="1" customHeight="1">
      <c r="A126" s="2">
        <v>125</v>
      </c>
      <c r="B126" s="11" t="s">
        <v>130</v>
      </c>
      <c r="D126" s="17">
        <v>20203382</v>
      </c>
      <c r="E126" s="45" t="s">
        <v>98</v>
      </c>
      <c r="F126" s="3" t="s">
        <v>386</v>
      </c>
      <c r="G126" s="5" t="s">
        <v>424</v>
      </c>
      <c r="H126" s="11" t="s">
        <v>99</v>
      </c>
      <c r="I126" s="2">
        <v>240</v>
      </c>
      <c r="J126" s="2">
        <v>240</v>
      </c>
      <c r="K126" s="2">
        <v>253</v>
      </c>
      <c r="L126" s="3" t="s">
        <v>424</v>
      </c>
      <c r="M126" s="3" t="s">
        <v>424</v>
      </c>
      <c r="N126" s="3" t="s">
        <v>424</v>
      </c>
    </row>
    <row r="127" spans="1:14" ht="15" hidden="1" customHeight="1">
      <c r="A127" s="2">
        <v>126</v>
      </c>
      <c r="B127" s="11" t="s">
        <v>244</v>
      </c>
      <c r="D127" s="17">
        <v>20203403</v>
      </c>
      <c r="E127" s="45" t="s">
        <v>98</v>
      </c>
      <c r="F127" s="3" t="s">
        <v>386</v>
      </c>
      <c r="G127" s="5" t="s">
        <v>422</v>
      </c>
      <c r="H127" s="11" t="s">
        <v>99</v>
      </c>
      <c r="I127" s="2">
        <v>218</v>
      </c>
      <c r="J127" s="2">
        <v>220</v>
      </c>
      <c r="K127" s="2">
        <v>230</v>
      </c>
      <c r="L127" s="3" t="s">
        <v>468</v>
      </c>
      <c r="M127" s="3" t="s">
        <v>468</v>
      </c>
      <c r="N127" s="3" t="s">
        <v>468</v>
      </c>
    </row>
    <row r="128" spans="1:14" ht="15" hidden="1" customHeight="1">
      <c r="A128" s="2">
        <v>127</v>
      </c>
      <c r="B128" s="11" t="s">
        <v>245</v>
      </c>
      <c r="D128" s="17">
        <v>20203385</v>
      </c>
      <c r="E128" s="45" t="s">
        <v>98</v>
      </c>
      <c r="F128" s="3" t="s">
        <v>386</v>
      </c>
      <c r="G128" s="5" t="s">
        <v>422</v>
      </c>
      <c r="H128" s="11" t="s">
        <v>99</v>
      </c>
      <c r="I128" s="2">
        <v>273</v>
      </c>
      <c r="J128" s="2">
        <v>275</v>
      </c>
      <c r="K128" s="2">
        <v>286</v>
      </c>
      <c r="L128" s="3" t="s">
        <v>468</v>
      </c>
      <c r="M128" s="3" t="s">
        <v>468</v>
      </c>
      <c r="N128" s="3" t="s">
        <v>468</v>
      </c>
    </row>
    <row r="129" spans="1:14" ht="15" hidden="1" customHeight="1">
      <c r="A129" s="2">
        <v>128</v>
      </c>
      <c r="B129" s="11" t="s">
        <v>246</v>
      </c>
      <c r="D129" s="17">
        <v>20203985</v>
      </c>
      <c r="E129" s="45" t="s">
        <v>98</v>
      </c>
      <c r="F129" s="3" t="s">
        <v>386</v>
      </c>
      <c r="G129" s="5" t="s">
        <v>422</v>
      </c>
      <c r="H129" s="11" t="s">
        <v>99</v>
      </c>
      <c r="I129" s="2">
        <v>117</v>
      </c>
      <c r="J129" s="2">
        <v>123</v>
      </c>
      <c r="K129" s="2">
        <v>132</v>
      </c>
      <c r="L129" s="3" t="s">
        <v>468</v>
      </c>
      <c r="M129" s="3" t="s">
        <v>468</v>
      </c>
      <c r="N129" s="3" t="s">
        <v>468</v>
      </c>
    </row>
    <row r="130" spans="1:14" ht="15" hidden="1" customHeight="1">
      <c r="A130" s="2">
        <v>129</v>
      </c>
      <c r="B130" s="55" t="s">
        <v>247</v>
      </c>
      <c r="D130" s="17">
        <v>20203931</v>
      </c>
      <c r="E130" s="10" t="s">
        <v>98</v>
      </c>
      <c r="F130" s="3" t="s">
        <v>386</v>
      </c>
      <c r="G130" s="5" t="s">
        <v>420</v>
      </c>
      <c r="H130" s="11" t="s">
        <v>99</v>
      </c>
      <c r="I130" s="2">
        <v>398</v>
      </c>
      <c r="J130" s="2">
        <v>422</v>
      </c>
      <c r="K130" s="2">
        <v>441</v>
      </c>
      <c r="L130" s="3" t="s">
        <v>434</v>
      </c>
      <c r="M130" s="3" t="s">
        <v>434</v>
      </c>
      <c r="N130" s="3" t="s">
        <v>434</v>
      </c>
    </row>
    <row r="131" spans="1:14" ht="15" hidden="1" customHeight="1">
      <c r="A131" s="2">
        <v>130</v>
      </c>
      <c r="B131" s="11" t="s">
        <v>248</v>
      </c>
      <c r="D131" s="17">
        <v>20203954</v>
      </c>
      <c r="E131" s="22" t="s">
        <v>98</v>
      </c>
      <c r="F131" s="3" t="s">
        <v>386</v>
      </c>
      <c r="G131" s="5" t="s">
        <v>420</v>
      </c>
      <c r="H131" s="11" t="s">
        <v>99</v>
      </c>
      <c r="I131" s="2">
        <v>155</v>
      </c>
      <c r="J131" s="2">
        <v>160</v>
      </c>
      <c r="K131" s="2">
        <v>171</v>
      </c>
      <c r="L131" s="3" t="s">
        <v>435</v>
      </c>
      <c r="M131" s="3" t="s">
        <v>435</v>
      </c>
      <c r="N131" s="3" t="s">
        <v>435</v>
      </c>
    </row>
    <row r="132" spans="1:14" ht="15" hidden="1" customHeight="1">
      <c r="A132" s="2">
        <v>131</v>
      </c>
      <c r="B132" s="11" t="s">
        <v>249</v>
      </c>
      <c r="D132" s="17">
        <v>20203942</v>
      </c>
      <c r="E132" s="41" t="s">
        <v>98</v>
      </c>
      <c r="F132" s="3" t="s">
        <v>386</v>
      </c>
      <c r="G132" s="6" t="s">
        <v>420</v>
      </c>
      <c r="H132" s="11" t="s">
        <v>99</v>
      </c>
      <c r="I132" s="2">
        <v>260</v>
      </c>
      <c r="J132" s="2">
        <v>265</v>
      </c>
      <c r="K132" s="2">
        <v>278</v>
      </c>
      <c r="L132" s="3" t="s">
        <v>435</v>
      </c>
      <c r="M132" s="3" t="s">
        <v>435</v>
      </c>
      <c r="N132" s="3" t="s">
        <v>435</v>
      </c>
    </row>
    <row r="133" spans="1:14" ht="15" hidden="1" customHeight="1">
      <c r="A133" s="2">
        <v>132</v>
      </c>
      <c r="B133" s="46" t="s">
        <v>131</v>
      </c>
      <c r="C133" s="46"/>
      <c r="D133" s="17">
        <v>20203946</v>
      </c>
      <c r="E133" s="22" t="s">
        <v>98</v>
      </c>
      <c r="F133" s="3" t="s">
        <v>386</v>
      </c>
      <c r="G133" s="6" t="s">
        <v>424</v>
      </c>
      <c r="H133" s="11" t="s">
        <v>99</v>
      </c>
      <c r="I133" s="2">
        <v>477</v>
      </c>
      <c r="J133" s="2">
        <v>483</v>
      </c>
      <c r="K133" s="2">
        <v>503</v>
      </c>
      <c r="L133" s="3" t="s">
        <v>435</v>
      </c>
      <c r="M133" s="3" t="s">
        <v>435</v>
      </c>
      <c r="N133" s="3" t="s">
        <v>435</v>
      </c>
    </row>
    <row r="134" spans="1:14" ht="15" hidden="1" customHeight="1">
      <c r="A134" s="2">
        <v>133</v>
      </c>
      <c r="B134" s="11" t="s">
        <v>132</v>
      </c>
      <c r="D134" s="17">
        <v>20203947</v>
      </c>
      <c r="E134" s="10" t="s">
        <v>98</v>
      </c>
      <c r="F134" s="3" t="s">
        <v>386</v>
      </c>
      <c r="G134" s="6" t="s">
        <v>418</v>
      </c>
      <c r="H134" s="11" t="s">
        <v>99</v>
      </c>
      <c r="I134" s="2">
        <v>230</v>
      </c>
      <c r="J134" s="2">
        <v>239</v>
      </c>
      <c r="K134" s="2">
        <v>251</v>
      </c>
      <c r="L134" s="3" t="s">
        <v>468</v>
      </c>
      <c r="M134" s="3" t="s">
        <v>468</v>
      </c>
      <c r="N134" s="3" t="s">
        <v>468</v>
      </c>
    </row>
    <row r="135" spans="1:14" ht="15" hidden="1" customHeight="1">
      <c r="A135" s="2">
        <v>134</v>
      </c>
      <c r="B135" s="11" t="s">
        <v>133</v>
      </c>
      <c r="D135" s="17">
        <v>20203948</v>
      </c>
      <c r="E135" s="10" t="s">
        <v>98</v>
      </c>
      <c r="F135" s="3" t="s">
        <v>386</v>
      </c>
      <c r="G135" s="6" t="s">
        <v>426</v>
      </c>
      <c r="H135" s="11" t="s">
        <v>99</v>
      </c>
      <c r="I135" s="2">
        <v>318</v>
      </c>
      <c r="J135" s="2">
        <v>321</v>
      </c>
      <c r="K135" s="2">
        <v>333</v>
      </c>
      <c r="L135" s="3" t="s">
        <v>443</v>
      </c>
      <c r="M135" s="3" t="s">
        <v>443</v>
      </c>
      <c r="N135" s="3" t="s">
        <v>443</v>
      </c>
    </row>
    <row r="136" spans="1:14" ht="15" hidden="1" customHeight="1">
      <c r="A136" s="60">
        <v>135</v>
      </c>
      <c r="B136" s="55" t="s">
        <v>134</v>
      </c>
      <c r="C136" s="55"/>
      <c r="D136" s="57">
        <v>20203949</v>
      </c>
      <c r="E136" s="58" t="s">
        <v>98</v>
      </c>
      <c r="F136" s="56" t="s">
        <v>386</v>
      </c>
      <c r="G136" s="61" t="s">
        <v>418</v>
      </c>
      <c r="H136" s="55" t="s">
        <v>99</v>
      </c>
      <c r="I136" s="60">
        <v>319</v>
      </c>
      <c r="J136" s="60">
        <v>322</v>
      </c>
      <c r="K136" s="60">
        <v>332</v>
      </c>
      <c r="L136" s="55" t="s">
        <v>418</v>
      </c>
      <c r="M136" s="55" t="s">
        <v>418</v>
      </c>
      <c r="N136" s="56" t="s">
        <v>519</v>
      </c>
    </row>
    <row r="137" spans="1:14" ht="15" hidden="1" customHeight="1">
      <c r="A137" s="2">
        <v>136</v>
      </c>
      <c r="B137" s="11" t="s">
        <v>250</v>
      </c>
      <c r="D137" s="17">
        <v>20204093</v>
      </c>
      <c r="E137" s="10" t="s">
        <v>98</v>
      </c>
      <c r="F137" s="3" t="s">
        <v>386</v>
      </c>
      <c r="G137" s="6" t="s">
        <v>426</v>
      </c>
      <c r="H137" s="11" t="s">
        <v>99</v>
      </c>
      <c r="I137" s="2">
        <v>212</v>
      </c>
      <c r="J137" s="2">
        <v>214</v>
      </c>
      <c r="K137" s="2">
        <v>224</v>
      </c>
      <c r="L137" s="3" t="s">
        <v>468</v>
      </c>
      <c r="M137" s="3" t="s">
        <v>468</v>
      </c>
      <c r="N137" s="3" t="s">
        <v>468</v>
      </c>
    </row>
    <row r="138" spans="1:14" ht="15" hidden="1" customHeight="1">
      <c r="A138" s="2">
        <v>137</v>
      </c>
      <c r="B138" s="11" t="s">
        <v>251</v>
      </c>
      <c r="D138" s="17">
        <v>20204108</v>
      </c>
      <c r="E138" s="10" t="s">
        <v>98</v>
      </c>
      <c r="F138" s="3" t="s">
        <v>386</v>
      </c>
      <c r="G138" s="6" t="s">
        <v>423</v>
      </c>
      <c r="H138" s="11" t="s">
        <v>99</v>
      </c>
      <c r="I138" s="2">
        <v>253</v>
      </c>
      <c r="J138" s="2">
        <v>253</v>
      </c>
      <c r="K138" s="2">
        <v>263</v>
      </c>
      <c r="L138" s="3" t="s">
        <v>443</v>
      </c>
      <c r="M138" s="3" t="s">
        <v>443</v>
      </c>
      <c r="N138" s="3" t="s">
        <v>443</v>
      </c>
    </row>
    <row r="139" spans="1:14" ht="15" hidden="1" customHeight="1">
      <c r="A139" s="2">
        <v>138</v>
      </c>
      <c r="B139" s="11" t="s">
        <v>135</v>
      </c>
      <c r="D139" s="17">
        <v>20204116</v>
      </c>
      <c r="E139" s="28" t="s">
        <v>98</v>
      </c>
      <c r="F139" s="3" t="s">
        <v>386</v>
      </c>
      <c r="G139" s="6" t="s">
        <v>427</v>
      </c>
      <c r="H139" s="11" t="s">
        <v>99</v>
      </c>
      <c r="I139" s="2">
        <v>159</v>
      </c>
      <c r="J139" s="2">
        <v>159</v>
      </c>
      <c r="K139" s="2">
        <v>159</v>
      </c>
      <c r="L139" s="46" t="s">
        <v>427</v>
      </c>
      <c r="M139" s="46" t="s">
        <v>427</v>
      </c>
      <c r="N139" s="46" t="s">
        <v>427</v>
      </c>
    </row>
    <row r="140" spans="1:14" ht="15" hidden="1" customHeight="1">
      <c r="A140" s="2">
        <v>139</v>
      </c>
      <c r="B140" s="11" t="s">
        <v>136</v>
      </c>
      <c r="D140" s="17">
        <v>20204117</v>
      </c>
      <c r="E140" s="41" t="s">
        <v>98</v>
      </c>
      <c r="F140" s="3" t="s">
        <v>386</v>
      </c>
      <c r="G140" s="6" t="s">
        <v>427</v>
      </c>
      <c r="H140" s="11" t="s">
        <v>99</v>
      </c>
      <c r="I140" s="2">
        <v>195</v>
      </c>
      <c r="J140" s="2">
        <v>195</v>
      </c>
      <c r="K140" s="2">
        <v>195</v>
      </c>
      <c r="L140" s="46" t="s">
        <v>427</v>
      </c>
      <c r="M140" s="46" t="s">
        <v>427</v>
      </c>
      <c r="N140" s="3" t="s">
        <v>424</v>
      </c>
    </row>
    <row r="141" spans="1:14" ht="15" hidden="1" customHeight="1">
      <c r="A141" s="2">
        <v>140</v>
      </c>
      <c r="B141" s="11" t="s">
        <v>137</v>
      </c>
      <c r="D141" s="17">
        <v>20204132</v>
      </c>
      <c r="E141" s="10" t="s">
        <v>98</v>
      </c>
      <c r="F141" s="3" t="s">
        <v>386</v>
      </c>
      <c r="G141" s="6" t="s">
        <v>427</v>
      </c>
      <c r="H141" s="11" t="s">
        <v>99</v>
      </c>
      <c r="I141" s="2">
        <v>409</v>
      </c>
      <c r="J141" s="2">
        <v>413</v>
      </c>
      <c r="K141" s="2">
        <v>413</v>
      </c>
      <c r="L141" s="46" t="s">
        <v>427</v>
      </c>
      <c r="M141" s="46" t="s">
        <v>427</v>
      </c>
      <c r="N141" s="3" t="s">
        <v>424</v>
      </c>
    </row>
    <row r="142" spans="1:14" ht="15" hidden="1" customHeight="1">
      <c r="A142" s="2">
        <v>141</v>
      </c>
      <c r="B142" s="12" t="s">
        <v>138</v>
      </c>
      <c r="D142" s="17">
        <v>20204077</v>
      </c>
      <c r="E142" s="10" t="s">
        <v>98</v>
      </c>
      <c r="F142" s="3" t="s">
        <v>386</v>
      </c>
      <c r="G142" s="6" t="s">
        <v>427</v>
      </c>
      <c r="H142" s="11" t="s">
        <v>99</v>
      </c>
      <c r="I142" s="2">
        <v>185</v>
      </c>
      <c r="J142" s="2">
        <v>183</v>
      </c>
      <c r="K142" s="35">
        <v>183</v>
      </c>
      <c r="L142" s="46" t="s">
        <v>427</v>
      </c>
      <c r="M142" s="46" t="s">
        <v>427</v>
      </c>
      <c r="N142" s="46" t="s">
        <v>427</v>
      </c>
    </row>
    <row r="143" spans="1:14" ht="15" hidden="1" customHeight="1">
      <c r="A143" s="2">
        <v>142</v>
      </c>
      <c r="B143" s="55" t="s">
        <v>252</v>
      </c>
      <c r="D143" s="17">
        <v>20204040</v>
      </c>
      <c r="E143" s="10" t="s">
        <v>98</v>
      </c>
      <c r="F143" s="3" t="s">
        <v>386</v>
      </c>
      <c r="G143" s="6" t="s">
        <v>349</v>
      </c>
      <c r="H143" s="11" t="s">
        <v>99</v>
      </c>
      <c r="I143" s="2">
        <v>167</v>
      </c>
      <c r="J143" s="2">
        <v>168</v>
      </c>
      <c r="K143" s="2">
        <v>182</v>
      </c>
      <c r="L143" s="3" t="s">
        <v>442</v>
      </c>
      <c r="M143" s="3" t="s">
        <v>442</v>
      </c>
      <c r="N143" s="3" t="s">
        <v>442</v>
      </c>
    </row>
    <row r="144" spans="1:14" ht="15" hidden="1" customHeight="1">
      <c r="A144" s="2">
        <v>143</v>
      </c>
      <c r="B144" s="11" t="s">
        <v>139</v>
      </c>
      <c r="D144" s="17">
        <v>20204026</v>
      </c>
      <c r="E144" s="10" t="s">
        <v>98</v>
      </c>
      <c r="F144" s="3" t="s">
        <v>386</v>
      </c>
      <c r="G144" s="6" t="s">
        <v>414</v>
      </c>
      <c r="H144" s="11" t="s">
        <v>99</v>
      </c>
      <c r="I144" s="2">
        <v>574</v>
      </c>
      <c r="J144" s="2">
        <v>577</v>
      </c>
      <c r="K144" s="2">
        <v>604</v>
      </c>
      <c r="L144" s="46" t="s">
        <v>414</v>
      </c>
      <c r="M144" s="46" t="s">
        <v>414</v>
      </c>
      <c r="N144" s="46" t="s">
        <v>414</v>
      </c>
    </row>
    <row r="145" spans="1:14" ht="15" hidden="1" customHeight="1">
      <c r="A145" s="2">
        <v>144</v>
      </c>
      <c r="B145" s="11" t="s">
        <v>253</v>
      </c>
      <c r="D145" s="17">
        <v>20203774</v>
      </c>
      <c r="E145" s="45" t="s">
        <v>98</v>
      </c>
      <c r="F145" s="3" t="s">
        <v>386</v>
      </c>
      <c r="G145" s="6" t="s">
        <v>419</v>
      </c>
      <c r="H145" s="11" t="s">
        <v>99</v>
      </c>
      <c r="I145" s="2">
        <v>251</v>
      </c>
      <c r="J145" s="2">
        <v>252</v>
      </c>
      <c r="K145" s="2">
        <v>265</v>
      </c>
      <c r="L145" s="3" t="s">
        <v>440</v>
      </c>
      <c r="M145" s="3" t="s">
        <v>440</v>
      </c>
      <c r="N145" s="3" t="s">
        <v>440</v>
      </c>
    </row>
    <row r="146" spans="1:14" ht="15" hidden="1" customHeight="1">
      <c r="A146" s="2">
        <v>145</v>
      </c>
      <c r="B146" s="11" t="s">
        <v>140</v>
      </c>
      <c r="D146" s="17">
        <v>70033308</v>
      </c>
      <c r="E146" s="45" t="s">
        <v>98</v>
      </c>
      <c r="F146" s="3" t="s">
        <v>386</v>
      </c>
      <c r="G146" s="6" t="s">
        <v>415</v>
      </c>
      <c r="H146" s="11" t="s">
        <v>8</v>
      </c>
      <c r="I146" s="2">
        <v>101</v>
      </c>
      <c r="J146" s="2">
        <v>100</v>
      </c>
      <c r="K146" s="2">
        <v>133</v>
      </c>
      <c r="L146" s="46" t="s">
        <v>418</v>
      </c>
      <c r="M146" s="46" t="s">
        <v>431</v>
      </c>
      <c r="N146" s="46" t="s">
        <v>431</v>
      </c>
    </row>
    <row r="147" spans="1:14" ht="15" hidden="1" customHeight="1">
      <c r="A147" s="2">
        <v>146</v>
      </c>
      <c r="B147" s="11" t="s">
        <v>141</v>
      </c>
      <c r="D147" s="17">
        <v>70052680</v>
      </c>
      <c r="E147" s="45" t="s">
        <v>98</v>
      </c>
      <c r="F147" s="3" t="s">
        <v>386</v>
      </c>
      <c r="G147" s="6" t="s">
        <v>419</v>
      </c>
      <c r="H147" s="11" t="s">
        <v>8</v>
      </c>
      <c r="I147" s="2">
        <v>67</v>
      </c>
      <c r="J147" s="2">
        <v>67</v>
      </c>
      <c r="K147" s="2">
        <v>67</v>
      </c>
      <c r="L147" s="46" t="s">
        <v>494</v>
      </c>
      <c r="M147" s="46" t="s">
        <v>494</v>
      </c>
      <c r="N147" s="46" t="s">
        <v>494</v>
      </c>
    </row>
    <row r="148" spans="1:14" ht="15" hidden="1" customHeight="1">
      <c r="A148" s="2">
        <v>147</v>
      </c>
      <c r="B148" s="67" t="s">
        <v>142</v>
      </c>
      <c r="C148" s="67"/>
      <c r="D148" s="17">
        <v>69978770</v>
      </c>
      <c r="E148" s="66" t="s">
        <v>98</v>
      </c>
      <c r="F148" s="3" t="s">
        <v>386</v>
      </c>
      <c r="G148" s="6" t="s">
        <v>418</v>
      </c>
      <c r="H148" s="67" t="s">
        <v>8</v>
      </c>
      <c r="I148" s="2">
        <v>70</v>
      </c>
      <c r="J148" s="2">
        <v>84</v>
      </c>
      <c r="K148" s="2">
        <v>87</v>
      </c>
      <c r="L148" s="67" t="s">
        <v>418</v>
      </c>
      <c r="M148" s="67" t="s">
        <v>418</v>
      </c>
      <c r="N148" s="67" t="s">
        <v>418</v>
      </c>
    </row>
    <row r="149" spans="1:14" ht="15" hidden="1" customHeight="1">
      <c r="A149" s="2">
        <v>148</v>
      </c>
      <c r="B149" s="11" t="s">
        <v>143</v>
      </c>
      <c r="D149" s="17">
        <v>70000174</v>
      </c>
      <c r="E149" s="10" t="s">
        <v>98</v>
      </c>
      <c r="F149" s="3" t="s">
        <v>386</v>
      </c>
      <c r="G149" s="6" t="s">
        <v>426</v>
      </c>
      <c r="H149" s="11" t="s">
        <v>8</v>
      </c>
      <c r="I149" s="2">
        <v>164</v>
      </c>
      <c r="J149" s="2">
        <v>168</v>
      </c>
      <c r="K149" s="2">
        <v>186</v>
      </c>
      <c r="L149" s="3" t="s">
        <v>462</v>
      </c>
      <c r="M149" s="3" t="s">
        <v>462</v>
      </c>
      <c r="N149" s="3" t="s">
        <v>462</v>
      </c>
    </row>
    <row r="150" spans="1:14" ht="15" hidden="1" customHeight="1">
      <c r="A150" s="2">
        <v>149</v>
      </c>
      <c r="B150" s="55" t="s">
        <v>144</v>
      </c>
      <c r="C150" s="46"/>
      <c r="D150" s="17">
        <v>70000064</v>
      </c>
      <c r="E150" s="28" t="s">
        <v>98</v>
      </c>
      <c r="F150" s="3" t="s">
        <v>386</v>
      </c>
      <c r="G150" s="6" t="s">
        <v>320</v>
      </c>
      <c r="H150" s="11" t="s">
        <v>8</v>
      </c>
      <c r="I150" s="2">
        <v>164</v>
      </c>
      <c r="J150" s="2">
        <v>218</v>
      </c>
      <c r="K150" s="2">
        <v>189</v>
      </c>
      <c r="L150" s="46" t="s">
        <v>439</v>
      </c>
      <c r="M150" s="3" t="s">
        <v>439</v>
      </c>
      <c r="N150" s="3" t="s">
        <v>439</v>
      </c>
    </row>
    <row r="151" spans="1:14" ht="15" hidden="1" customHeight="1">
      <c r="A151" s="2">
        <v>150</v>
      </c>
      <c r="B151" s="46" t="s">
        <v>145</v>
      </c>
      <c r="C151" s="46"/>
      <c r="D151" s="17">
        <v>70004357</v>
      </c>
      <c r="E151" s="22" t="s">
        <v>98</v>
      </c>
      <c r="F151" s="3" t="s">
        <v>386</v>
      </c>
      <c r="G151" s="6" t="s">
        <v>415</v>
      </c>
      <c r="H151" s="11" t="s">
        <v>8</v>
      </c>
      <c r="I151" s="2">
        <v>148</v>
      </c>
      <c r="J151" s="2">
        <v>153</v>
      </c>
      <c r="K151" s="2">
        <v>171</v>
      </c>
      <c r="L151" s="46" t="s">
        <v>431</v>
      </c>
      <c r="M151" s="46" t="s">
        <v>415</v>
      </c>
      <c r="N151" s="46" t="s">
        <v>415</v>
      </c>
    </row>
    <row r="152" spans="1:14" ht="15" hidden="1" customHeight="1">
      <c r="A152" s="2">
        <v>151</v>
      </c>
      <c r="B152" s="11" t="s">
        <v>146</v>
      </c>
      <c r="D152" s="17">
        <v>70046381</v>
      </c>
      <c r="E152" s="10" t="s">
        <v>98</v>
      </c>
      <c r="F152" s="3" t="s">
        <v>386</v>
      </c>
      <c r="G152" s="6" t="s">
        <v>349</v>
      </c>
      <c r="H152" s="11" t="s">
        <v>8</v>
      </c>
      <c r="I152" s="2">
        <v>57</v>
      </c>
      <c r="J152" s="2">
        <v>58</v>
      </c>
      <c r="K152" s="2">
        <v>69</v>
      </c>
      <c r="L152" s="3" t="s">
        <v>443</v>
      </c>
      <c r="M152" s="3" t="s">
        <v>443</v>
      </c>
      <c r="N152" s="3" t="s">
        <v>443</v>
      </c>
    </row>
    <row r="153" spans="1:14" ht="15" hidden="1" customHeight="1">
      <c r="A153" s="2">
        <v>152</v>
      </c>
      <c r="B153" s="46" t="s">
        <v>147</v>
      </c>
      <c r="C153" s="46"/>
      <c r="D153" s="17">
        <v>70034501</v>
      </c>
      <c r="E153" s="10" t="s">
        <v>98</v>
      </c>
      <c r="F153" s="3" t="s">
        <v>386</v>
      </c>
      <c r="G153" s="6" t="s">
        <v>422</v>
      </c>
      <c r="H153" s="11" t="s">
        <v>8</v>
      </c>
      <c r="I153" s="2">
        <v>304</v>
      </c>
      <c r="J153" s="2">
        <v>304</v>
      </c>
      <c r="K153" s="2">
        <v>304</v>
      </c>
      <c r="L153" s="46" t="s">
        <v>491</v>
      </c>
      <c r="M153" s="46" t="s">
        <v>491</v>
      </c>
      <c r="N153" s="46" t="s">
        <v>491</v>
      </c>
    </row>
    <row r="154" spans="1:14" ht="15" hidden="1" customHeight="1">
      <c r="A154" s="2">
        <v>153</v>
      </c>
      <c r="B154" s="46" t="s">
        <v>148</v>
      </c>
      <c r="C154" s="46"/>
      <c r="D154" s="17">
        <v>70031171</v>
      </c>
      <c r="E154" s="10" t="s">
        <v>98</v>
      </c>
      <c r="F154" s="3" t="s">
        <v>386</v>
      </c>
      <c r="G154" s="6" t="s">
        <v>423</v>
      </c>
      <c r="H154" s="11" t="s">
        <v>8</v>
      </c>
      <c r="I154" s="2">
        <v>54</v>
      </c>
      <c r="J154" s="2">
        <v>62</v>
      </c>
      <c r="K154" s="2">
        <v>69</v>
      </c>
      <c r="L154" s="3" t="s">
        <v>441</v>
      </c>
      <c r="M154" s="3" t="s">
        <v>441</v>
      </c>
      <c r="N154" s="3" t="s">
        <v>441</v>
      </c>
    </row>
    <row r="155" spans="1:14" ht="15" hidden="1" customHeight="1">
      <c r="A155" s="2">
        <v>154</v>
      </c>
      <c r="B155" s="11" t="s">
        <v>149</v>
      </c>
      <c r="D155" s="17">
        <v>60726619</v>
      </c>
      <c r="E155" s="10" t="s">
        <v>98</v>
      </c>
      <c r="F155" s="3" t="s">
        <v>386</v>
      </c>
      <c r="G155" s="6" t="s">
        <v>422</v>
      </c>
      <c r="H155" s="11" t="s">
        <v>8</v>
      </c>
      <c r="I155" s="2">
        <v>252</v>
      </c>
      <c r="J155" s="2">
        <v>252</v>
      </c>
      <c r="K155" s="2">
        <v>267</v>
      </c>
      <c r="L155" s="3" t="s">
        <v>468</v>
      </c>
      <c r="M155" s="3" t="s">
        <v>468</v>
      </c>
      <c r="N155" s="3" t="s">
        <v>468</v>
      </c>
    </row>
    <row r="156" spans="1:14" ht="15" hidden="1" customHeight="1">
      <c r="A156" s="2">
        <v>155</v>
      </c>
      <c r="B156" s="11" t="s">
        <v>150</v>
      </c>
      <c r="D156" s="17">
        <v>20203896</v>
      </c>
      <c r="E156" s="10" t="s">
        <v>151</v>
      </c>
      <c r="F156" s="3" t="s">
        <v>386</v>
      </c>
      <c r="G156" s="6" t="s">
        <v>419</v>
      </c>
      <c r="H156" s="11" t="s">
        <v>99</v>
      </c>
      <c r="I156" s="67">
        <v>1347</v>
      </c>
      <c r="J156" s="67">
        <v>1399</v>
      </c>
      <c r="K156" s="67">
        <v>1402</v>
      </c>
      <c r="L156" s="46" t="s">
        <v>418</v>
      </c>
      <c r="M156" s="46" t="s">
        <v>418</v>
      </c>
      <c r="N156" s="46" t="s">
        <v>418</v>
      </c>
    </row>
    <row r="157" spans="1:14" ht="15" hidden="1" customHeight="1">
      <c r="A157" s="2">
        <v>156</v>
      </c>
      <c r="B157" s="11" t="s">
        <v>152</v>
      </c>
      <c r="D157" s="17">
        <v>20203809</v>
      </c>
      <c r="E157" s="10" t="s">
        <v>151</v>
      </c>
      <c r="F157" s="3" t="s">
        <v>386</v>
      </c>
      <c r="G157" s="6" t="s">
        <v>414</v>
      </c>
      <c r="H157" s="11" t="s">
        <v>99</v>
      </c>
      <c r="I157" s="11">
        <v>1322</v>
      </c>
      <c r="J157" s="11">
        <v>1326</v>
      </c>
      <c r="K157" s="11">
        <v>1390</v>
      </c>
      <c r="L157" s="46" t="s">
        <v>461</v>
      </c>
      <c r="M157" s="46" t="s">
        <v>461</v>
      </c>
      <c r="N157" s="46" t="s">
        <v>461</v>
      </c>
    </row>
    <row r="158" spans="1:14" hidden="1">
      <c r="A158" s="2">
        <v>157</v>
      </c>
      <c r="B158" s="55" t="s">
        <v>153</v>
      </c>
      <c r="C158" s="29">
        <v>5</v>
      </c>
      <c r="D158" s="17">
        <v>20203843</v>
      </c>
      <c r="E158" s="28" t="s">
        <v>151</v>
      </c>
      <c r="F158" s="3" t="s">
        <v>386</v>
      </c>
      <c r="G158" s="6" t="s">
        <v>427</v>
      </c>
      <c r="H158" s="11" t="s">
        <v>99</v>
      </c>
      <c r="I158" s="2">
        <v>963</v>
      </c>
      <c r="J158" s="2">
        <v>973</v>
      </c>
      <c r="K158" s="2">
        <v>1011</v>
      </c>
      <c r="L158" s="46" t="s">
        <v>424</v>
      </c>
      <c r="M158" s="3" t="s">
        <v>465</v>
      </c>
      <c r="N158" s="3" t="s">
        <v>427</v>
      </c>
    </row>
    <row r="159" spans="1:14" ht="15" hidden="1" customHeight="1">
      <c r="A159" s="2">
        <v>158</v>
      </c>
      <c r="B159" s="11" t="s">
        <v>154</v>
      </c>
      <c r="D159" s="17">
        <v>20253851</v>
      </c>
      <c r="E159" s="10" t="s">
        <v>151</v>
      </c>
      <c r="F159" s="3" t="s">
        <v>386</v>
      </c>
      <c r="G159" s="6" t="s">
        <v>421</v>
      </c>
      <c r="H159" s="11" t="s">
        <v>99</v>
      </c>
      <c r="I159" s="2">
        <v>204</v>
      </c>
      <c r="J159" s="2">
        <v>206</v>
      </c>
      <c r="K159" s="2">
        <v>206</v>
      </c>
      <c r="L159" s="46" t="s">
        <v>464</v>
      </c>
      <c r="M159" s="46" t="s">
        <v>441</v>
      </c>
      <c r="N159" s="46" t="s">
        <v>519</v>
      </c>
    </row>
    <row r="160" spans="1:14" ht="15" customHeight="1">
      <c r="A160" s="2">
        <v>159</v>
      </c>
      <c r="B160" s="11" t="s">
        <v>155</v>
      </c>
      <c r="D160" s="17">
        <v>69820508</v>
      </c>
      <c r="E160" s="10" t="s">
        <v>151</v>
      </c>
      <c r="F160" s="3" t="s">
        <v>386</v>
      </c>
      <c r="G160" s="6" t="s">
        <v>349</v>
      </c>
      <c r="H160" s="11" t="s">
        <v>8</v>
      </c>
      <c r="I160" s="2">
        <v>537</v>
      </c>
      <c r="J160" s="2">
        <v>542</v>
      </c>
      <c r="K160" s="2">
        <v>579</v>
      </c>
      <c r="L160" s="46" t="s">
        <v>469</v>
      </c>
      <c r="M160" s="46" t="s">
        <v>469</v>
      </c>
      <c r="N160" s="46" t="s">
        <v>469</v>
      </c>
    </row>
    <row r="161" spans="1:14" ht="15" hidden="1" customHeight="1">
      <c r="A161" s="2">
        <v>160</v>
      </c>
      <c r="B161" s="55" t="s">
        <v>156</v>
      </c>
      <c r="D161" s="17">
        <v>70036767</v>
      </c>
      <c r="E161" s="28" t="s">
        <v>151</v>
      </c>
      <c r="F161" s="3" t="s">
        <v>386</v>
      </c>
      <c r="G161" s="6" t="s">
        <v>320</v>
      </c>
      <c r="H161" s="11" t="s">
        <v>8</v>
      </c>
      <c r="I161" s="2">
        <v>80</v>
      </c>
      <c r="J161" s="2">
        <v>83</v>
      </c>
      <c r="K161" s="2">
        <v>90</v>
      </c>
      <c r="L161" s="3" t="s">
        <v>440</v>
      </c>
      <c r="M161" s="3" t="s">
        <v>439</v>
      </c>
      <c r="N161" s="3" t="s">
        <v>439</v>
      </c>
    </row>
    <row r="162" spans="1:14" ht="15" hidden="1" customHeight="1">
      <c r="A162" s="2">
        <v>161</v>
      </c>
      <c r="B162" s="11" t="s">
        <v>157</v>
      </c>
      <c r="D162" s="17">
        <v>70032325</v>
      </c>
      <c r="E162" s="10" t="s">
        <v>151</v>
      </c>
      <c r="F162" s="3" t="s">
        <v>386</v>
      </c>
      <c r="G162" s="6" t="s">
        <v>320</v>
      </c>
      <c r="H162" s="11" t="s">
        <v>8</v>
      </c>
      <c r="I162" s="2">
        <v>30</v>
      </c>
      <c r="J162" s="2">
        <v>32</v>
      </c>
      <c r="K162" s="2">
        <v>48</v>
      </c>
      <c r="L162" s="3" t="s">
        <v>462</v>
      </c>
      <c r="M162" s="3" t="s">
        <v>462</v>
      </c>
      <c r="N162" s="3" t="s">
        <v>462</v>
      </c>
    </row>
    <row r="163" spans="1:14" ht="15" hidden="1" customHeight="1">
      <c r="A163" s="2">
        <v>162</v>
      </c>
      <c r="B163" s="55" t="s">
        <v>158</v>
      </c>
      <c r="D163" s="17">
        <v>70046116</v>
      </c>
      <c r="E163" s="10" t="s">
        <v>151</v>
      </c>
      <c r="F163" s="3" t="s">
        <v>386</v>
      </c>
      <c r="G163" s="6" t="s">
        <v>349</v>
      </c>
      <c r="H163" s="11" t="s">
        <v>8</v>
      </c>
      <c r="I163" s="2">
        <v>78</v>
      </c>
      <c r="J163" s="2">
        <v>78</v>
      </c>
      <c r="K163" s="2">
        <v>94</v>
      </c>
      <c r="L163" s="3" t="s">
        <v>442</v>
      </c>
      <c r="M163" s="3" t="s">
        <v>442</v>
      </c>
      <c r="N163" s="3" t="s">
        <v>442</v>
      </c>
    </row>
    <row r="164" spans="1:14" ht="15" hidden="1" customHeight="1">
      <c r="A164" s="2">
        <v>163</v>
      </c>
      <c r="B164" s="11" t="s">
        <v>159</v>
      </c>
      <c r="D164" s="17">
        <v>60733399</v>
      </c>
      <c r="E164" s="10" t="s">
        <v>151</v>
      </c>
      <c r="F164" s="3" t="s">
        <v>386</v>
      </c>
      <c r="G164" s="6" t="s">
        <v>420</v>
      </c>
      <c r="H164" s="11" t="s">
        <v>8</v>
      </c>
      <c r="I164" s="2">
        <v>48</v>
      </c>
      <c r="J164" s="2">
        <v>51</v>
      </c>
      <c r="K164" s="2">
        <v>58</v>
      </c>
      <c r="L164" s="11" t="s">
        <v>431</v>
      </c>
      <c r="M164" s="11" t="s">
        <v>431</v>
      </c>
      <c r="N164" s="46" t="s">
        <v>431</v>
      </c>
    </row>
    <row r="165" spans="1:14" ht="15" hidden="1" customHeight="1">
      <c r="A165" s="2">
        <v>164</v>
      </c>
      <c r="B165" s="11" t="s">
        <v>160</v>
      </c>
      <c r="D165" s="17">
        <v>70004356</v>
      </c>
      <c r="E165" s="22" t="s">
        <v>151</v>
      </c>
      <c r="F165" s="3" t="s">
        <v>386</v>
      </c>
      <c r="G165" s="6" t="s">
        <v>415</v>
      </c>
      <c r="H165" s="11" t="s">
        <v>8</v>
      </c>
      <c r="I165" s="2">
        <v>66</v>
      </c>
      <c r="J165" s="2">
        <v>67</v>
      </c>
      <c r="K165" s="2">
        <v>78</v>
      </c>
      <c r="L165" s="11" t="s">
        <v>431</v>
      </c>
      <c r="M165" s="11" t="s">
        <v>415</v>
      </c>
      <c r="N165" s="46" t="s">
        <v>415</v>
      </c>
    </row>
    <row r="166" spans="1:14" ht="15" hidden="1" customHeight="1">
      <c r="A166" s="2">
        <v>165</v>
      </c>
      <c r="B166" s="11" t="s">
        <v>161</v>
      </c>
      <c r="D166" s="17">
        <v>60728959</v>
      </c>
      <c r="E166" s="10" t="s">
        <v>151</v>
      </c>
      <c r="F166" s="3" t="s">
        <v>386</v>
      </c>
      <c r="G166" s="6" t="s">
        <v>422</v>
      </c>
      <c r="H166" s="11" t="s">
        <v>8</v>
      </c>
      <c r="I166" s="2">
        <v>258</v>
      </c>
      <c r="J166" s="2">
        <v>258</v>
      </c>
      <c r="K166" s="2">
        <v>258</v>
      </c>
      <c r="L166" s="11" t="s">
        <v>491</v>
      </c>
      <c r="M166" s="11" t="s">
        <v>491</v>
      </c>
      <c r="N166" s="46" t="s">
        <v>491</v>
      </c>
    </row>
    <row r="167" spans="1:14" ht="15" hidden="1" customHeight="1">
      <c r="A167" s="2">
        <v>166</v>
      </c>
      <c r="B167" s="11" t="s">
        <v>162</v>
      </c>
      <c r="D167" s="17">
        <v>69973886</v>
      </c>
      <c r="E167" s="45" t="s">
        <v>151</v>
      </c>
      <c r="F167" s="3" t="s">
        <v>386</v>
      </c>
      <c r="G167" s="6" t="s">
        <v>416</v>
      </c>
      <c r="H167" s="11" t="s">
        <v>8</v>
      </c>
      <c r="I167" s="2">
        <v>73</v>
      </c>
      <c r="J167" s="2">
        <v>60</v>
      </c>
      <c r="K167" s="2">
        <v>86</v>
      </c>
      <c r="L167" s="67" t="s">
        <v>464</v>
      </c>
      <c r="M167" s="67" t="s">
        <v>464</v>
      </c>
      <c r="N167" s="3" t="s">
        <v>518</v>
      </c>
    </row>
    <row r="168" spans="1:14" ht="15" hidden="1" customHeight="1">
      <c r="A168" s="2">
        <v>167</v>
      </c>
      <c r="B168" s="11" t="s">
        <v>163</v>
      </c>
      <c r="D168" s="17">
        <v>70050026</v>
      </c>
      <c r="E168" s="10" t="s">
        <v>151</v>
      </c>
      <c r="F168" s="3" t="s">
        <v>386</v>
      </c>
      <c r="G168" s="6" t="s">
        <v>423</v>
      </c>
      <c r="H168" s="11" t="s">
        <v>8</v>
      </c>
      <c r="I168" s="2">
        <v>47</v>
      </c>
      <c r="J168" s="2">
        <v>49</v>
      </c>
      <c r="K168" s="2">
        <v>52</v>
      </c>
      <c r="L168" s="11" t="s">
        <v>418</v>
      </c>
      <c r="M168" s="11" t="s">
        <v>418</v>
      </c>
      <c r="N168" s="46" t="s">
        <v>418</v>
      </c>
    </row>
    <row r="169" spans="1:14" ht="15" hidden="1" customHeight="1">
      <c r="A169" s="2">
        <v>168</v>
      </c>
      <c r="B169" s="11" t="s">
        <v>164</v>
      </c>
      <c r="D169" s="17">
        <v>70041233</v>
      </c>
      <c r="E169" s="10" t="s">
        <v>151</v>
      </c>
      <c r="F169" s="3" t="s">
        <v>386</v>
      </c>
      <c r="G169" s="6" t="s">
        <v>421</v>
      </c>
      <c r="H169" s="11" t="s">
        <v>8</v>
      </c>
      <c r="I169" s="2">
        <v>23</v>
      </c>
      <c r="J169" s="2">
        <v>27</v>
      </c>
      <c r="K169" s="2">
        <v>37</v>
      </c>
      <c r="L169" s="3" t="s">
        <v>441</v>
      </c>
      <c r="M169" s="3" t="s">
        <v>441</v>
      </c>
      <c r="N169" s="3" t="s">
        <v>441</v>
      </c>
    </row>
    <row r="170" spans="1:14" ht="15" hidden="1" customHeight="1">
      <c r="A170" s="2">
        <v>169</v>
      </c>
      <c r="B170" s="32" t="s">
        <v>165</v>
      </c>
      <c r="C170" s="3"/>
      <c r="D170" s="17">
        <v>69933277</v>
      </c>
      <c r="E170" s="10" t="s">
        <v>151</v>
      </c>
      <c r="F170" s="3" t="s">
        <v>386</v>
      </c>
      <c r="G170" s="6" t="s">
        <v>427</v>
      </c>
      <c r="H170" s="11" t="s">
        <v>8</v>
      </c>
      <c r="I170" s="2">
        <v>88</v>
      </c>
      <c r="J170" s="2">
        <v>65</v>
      </c>
      <c r="K170" s="35">
        <v>73</v>
      </c>
      <c r="L170" s="3" t="s">
        <v>435</v>
      </c>
      <c r="M170" s="3" t="s">
        <v>427</v>
      </c>
      <c r="N170" s="3" t="s">
        <v>427</v>
      </c>
    </row>
    <row r="171" spans="1:14" ht="15" hidden="1" customHeight="1">
      <c r="A171" s="2">
        <v>170</v>
      </c>
      <c r="B171" s="11" t="s">
        <v>166</v>
      </c>
      <c r="D171" s="17">
        <v>69932393</v>
      </c>
      <c r="E171" s="45" t="s">
        <v>151</v>
      </c>
      <c r="F171" s="3" t="s">
        <v>386</v>
      </c>
      <c r="G171" s="6" t="s">
        <v>423</v>
      </c>
      <c r="H171" s="11" t="s">
        <v>8</v>
      </c>
      <c r="I171" s="2">
        <v>124</v>
      </c>
      <c r="J171" s="2">
        <v>151</v>
      </c>
      <c r="K171" s="2">
        <v>163</v>
      </c>
      <c r="L171" s="3" t="s">
        <v>441</v>
      </c>
      <c r="M171" s="3" t="s">
        <v>441</v>
      </c>
      <c r="N171" s="3" t="s">
        <v>441</v>
      </c>
    </row>
    <row r="172" spans="1:14" ht="15" hidden="1" customHeight="1">
      <c r="A172" s="2">
        <v>171</v>
      </c>
      <c r="B172" s="11" t="s">
        <v>167</v>
      </c>
      <c r="D172" s="17">
        <v>70004220</v>
      </c>
      <c r="E172" s="45" t="s">
        <v>151</v>
      </c>
      <c r="F172" s="3" t="s">
        <v>386</v>
      </c>
      <c r="G172" s="6" t="s">
        <v>415</v>
      </c>
      <c r="H172" s="11" t="s">
        <v>8</v>
      </c>
      <c r="I172" s="2">
        <v>544</v>
      </c>
      <c r="J172" s="2">
        <v>554</v>
      </c>
      <c r="K172" s="2">
        <v>575</v>
      </c>
      <c r="L172" s="11" t="s">
        <v>415</v>
      </c>
      <c r="M172" s="11" t="s">
        <v>415</v>
      </c>
      <c r="N172" s="46" t="s">
        <v>415</v>
      </c>
    </row>
    <row r="173" spans="1:14" ht="15" hidden="1" customHeight="1">
      <c r="A173" s="2">
        <v>172</v>
      </c>
      <c r="B173" s="55" t="s">
        <v>168</v>
      </c>
      <c r="D173" s="17">
        <v>70001153</v>
      </c>
      <c r="E173" s="10" t="s">
        <v>151</v>
      </c>
      <c r="F173" s="3" t="s">
        <v>386</v>
      </c>
      <c r="G173" s="6" t="s">
        <v>349</v>
      </c>
      <c r="H173" s="11" t="s">
        <v>8</v>
      </c>
      <c r="I173" s="2">
        <v>158</v>
      </c>
      <c r="J173" s="2">
        <v>160</v>
      </c>
      <c r="K173" s="2">
        <v>174</v>
      </c>
      <c r="L173" s="3" t="s">
        <v>442</v>
      </c>
      <c r="M173" s="3" t="s">
        <v>442</v>
      </c>
      <c r="N173" s="3" t="s">
        <v>442</v>
      </c>
    </row>
    <row r="174" spans="1:14" ht="15" hidden="1" customHeight="1">
      <c r="A174" s="2">
        <v>173</v>
      </c>
      <c r="B174" s="55" t="s">
        <v>169</v>
      </c>
      <c r="C174" s="55"/>
      <c r="D174" s="57">
        <v>60725320</v>
      </c>
      <c r="E174" s="58" t="s">
        <v>151</v>
      </c>
      <c r="F174" s="56" t="s">
        <v>386</v>
      </c>
      <c r="G174" s="61" t="s">
        <v>420</v>
      </c>
      <c r="H174" s="55" t="s">
        <v>8</v>
      </c>
      <c r="I174" s="60">
        <v>152</v>
      </c>
      <c r="J174" s="60">
        <v>281</v>
      </c>
      <c r="K174" s="60">
        <v>170</v>
      </c>
      <c r="L174" s="55" t="s">
        <v>469</v>
      </c>
      <c r="M174" s="55" t="s">
        <v>424</v>
      </c>
      <c r="N174" s="56" t="s">
        <v>516</v>
      </c>
    </row>
    <row r="175" spans="1:14" ht="15" hidden="1" customHeight="1">
      <c r="A175" s="2">
        <v>174</v>
      </c>
      <c r="B175" s="55" t="s">
        <v>170</v>
      </c>
      <c r="D175" s="17">
        <v>60729091</v>
      </c>
      <c r="E175" s="28" t="s">
        <v>151</v>
      </c>
      <c r="F175" s="3" t="s">
        <v>386</v>
      </c>
      <c r="G175" s="6" t="s">
        <v>320</v>
      </c>
      <c r="H175" s="11" t="s">
        <v>8</v>
      </c>
      <c r="I175" s="2">
        <v>273</v>
      </c>
      <c r="J175" s="2">
        <v>273</v>
      </c>
      <c r="K175" s="2">
        <v>288</v>
      </c>
      <c r="L175" s="11" t="s">
        <v>439</v>
      </c>
      <c r="M175" s="3" t="s">
        <v>439</v>
      </c>
      <c r="N175" s="3" t="s">
        <v>439</v>
      </c>
    </row>
    <row r="176" spans="1:14" ht="15" hidden="1" customHeight="1">
      <c r="A176" s="2">
        <v>175</v>
      </c>
      <c r="B176" s="55" t="s">
        <v>171</v>
      </c>
      <c r="D176" s="17">
        <v>70041235</v>
      </c>
      <c r="E176" s="28" t="s">
        <v>151</v>
      </c>
      <c r="F176" s="3" t="s">
        <v>386</v>
      </c>
      <c r="G176" s="6" t="s">
        <v>320</v>
      </c>
      <c r="H176" s="11" t="s">
        <v>8</v>
      </c>
      <c r="I176" s="2">
        <v>100</v>
      </c>
      <c r="J176" s="2">
        <v>110</v>
      </c>
      <c r="K176" s="2">
        <v>110</v>
      </c>
      <c r="L176" s="46" t="s">
        <v>439</v>
      </c>
      <c r="M176" s="3" t="s">
        <v>439</v>
      </c>
      <c r="N176" s="3" t="s">
        <v>439</v>
      </c>
    </row>
    <row r="177" spans="1:14" ht="15" hidden="1" customHeight="1">
      <c r="A177" s="2">
        <v>176</v>
      </c>
      <c r="B177" s="11" t="s">
        <v>172</v>
      </c>
      <c r="D177" s="17">
        <v>70035672</v>
      </c>
      <c r="E177" s="10" t="s">
        <v>151</v>
      </c>
      <c r="F177" s="3" t="s">
        <v>386</v>
      </c>
      <c r="G177" s="6" t="s">
        <v>320</v>
      </c>
      <c r="H177" s="11" t="s">
        <v>8</v>
      </c>
      <c r="I177" s="2">
        <v>84</v>
      </c>
      <c r="J177" s="2">
        <v>84</v>
      </c>
      <c r="K177" s="2">
        <v>84</v>
      </c>
      <c r="L177" s="11" t="s">
        <v>465</v>
      </c>
      <c r="M177" s="11" t="s">
        <v>461</v>
      </c>
      <c r="N177" s="46" t="s">
        <v>461</v>
      </c>
    </row>
    <row r="178" spans="1:14" ht="15" hidden="1" customHeight="1">
      <c r="A178" s="2">
        <v>177</v>
      </c>
      <c r="B178" s="11" t="s">
        <v>173</v>
      </c>
      <c r="D178" s="17">
        <v>60733400</v>
      </c>
      <c r="E178" s="10" t="s">
        <v>151</v>
      </c>
      <c r="F178" s="3" t="s">
        <v>386</v>
      </c>
      <c r="G178" s="6" t="s">
        <v>415</v>
      </c>
      <c r="H178" s="11" t="s">
        <v>8</v>
      </c>
      <c r="I178" s="2">
        <v>88</v>
      </c>
      <c r="J178" s="2">
        <v>88</v>
      </c>
      <c r="K178" s="2">
        <v>100</v>
      </c>
      <c r="L178" s="11" t="s">
        <v>415</v>
      </c>
      <c r="M178" s="11" t="s">
        <v>415</v>
      </c>
      <c r="N178" s="46" t="s">
        <v>415</v>
      </c>
    </row>
    <row r="179" spans="1:14" ht="15" hidden="1" customHeight="1">
      <c r="A179" s="2">
        <v>178</v>
      </c>
      <c r="B179" s="11" t="s">
        <v>174</v>
      </c>
      <c r="D179" s="17">
        <v>70034530</v>
      </c>
      <c r="E179" s="45" t="s">
        <v>151</v>
      </c>
      <c r="F179" s="3" t="s">
        <v>386</v>
      </c>
      <c r="G179" s="6" t="s">
        <v>415</v>
      </c>
      <c r="H179" s="11" t="s">
        <v>8</v>
      </c>
      <c r="I179" s="2">
        <v>51</v>
      </c>
      <c r="J179" s="2"/>
      <c r="K179" s="2"/>
    </row>
    <row r="180" spans="1:14" ht="15" hidden="1" customHeight="1">
      <c r="A180" s="2">
        <v>179</v>
      </c>
      <c r="B180" s="11" t="s">
        <v>175</v>
      </c>
      <c r="D180" s="17">
        <v>70036789</v>
      </c>
      <c r="E180" s="22" t="s">
        <v>151</v>
      </c>
      <c r="F180" s="3" t="s">
        <v>386</v>
      </c>
      <c r="G180" s="6" t="s">
        <v>415</v>
      </c>
      <c r="H180" s="11" t="s">
        <v>8</v>
      </c>
      <c r="I180" s="2">
        <v>63</v>
      </c>
      <c r="J180" s="2"/>
      <c r="K180" s="2"/>
      <c r="L180" s="46"/>
      <c r="M180" s="46"/>
    </row>
    <row r="181" spans="1:14" ht="15" hidden="1" customHeight="1">
      <c r="A181" s="2">
        <v>180</v>
      </c>
      <c r="B181" s="55" t="s">
        <v>254</v>
      </c>
      <c r="D181" s="17">
        <v>20203880</v>
      </c>
      <c r="E181" s="10" t="s">
        <v>151</v>
      </c>
      <c r="F181" s="3" t="s">
        <v>386</v>
      </c>
      <c r="G181" s="6" t="s">
        <v>320</v>
      </c>
      <c r="H181" s="11" t="s">
        <v>8</v>
      </c>
      <c r="I181" s="11">
        <v>1049</v>
      </c>
      <c r="J181" s="11">
        <v>1051</v>
      </c>
      <c r="K181" s="11">
        <v>1063</v>
      </c>
      <c r="L181" s="3" t="s">
        <v>434</v>
      </c>
      <c r="M181" s="3" t="s">
        <v>434</v>
      </c>
      <c r="N181" s="3" t="s">
        <v>434</v>
      </c>
    </row>
    <row r="182" spans="1:14" ht="15" hidden="1" customHeight="1">
      <c r="A182" s="2">
        <v>181</v>
      </c>
      <c r="B182" s="11" t="s">
        <v>176</v>
      </c>
      <c r="D182" s="17">
        <v>69984093</v>
      </c>
      <c r="E182" s="10" t="s">
        <v>151</v>
      </c>
      <c r="F182" s="3" t="s">
        <v>386</v>
      </c>
      <c r="G182" s="6" t="s">
        <v>421</v>
      </c>
      <c r="H182" s="11" t="s">
        <v>8</v>
      </c>
      <c r="I182" s="2">
        <v>44</v>
      </c>
      <c r="J182" s="2">
        <v>30</v>
      </c>
      <c r="K182" s="2">
        <v>45</v>
      </c>
      <c r="L182" s="3" t="s">
        <v>441</v>
      </c>
      <c r="M182" s="3" t="s">
        <v>441</v>
      </c>
      <c r="N182" s="3" t="s">
        <v>441</v>
      </c>
    </row>
    <row r="183" spans="1:14" ht="15" hidden="1" customHeight="1">
      <c r="A183" s="2">
        <v>182</v>
      </c>
      <c r="B183" s="11" t="s">
        <v>177</v>
      </c>
      <c r="D183" s="17">
        <v>69820103</v>
      </c>
      <c r="E183" s="10" t="s">
        <v>151</v>
      </c>
      <c r="F183" s="3" t="s">
        <v>386</v>
      </c>
      <c r="G183" s="6" t="s">
        <v>421</v>
      </c>
      <c r="H183" s="11" t="s">
        <v>8</v>
      </c>
      <c r="I183" s="2">
        <v>237</v>
      </c>
      <c r="J183" s="2">
        <v>243</v>
      </c>
      <c r="K183" s="2">
        <v>259</v>
      </c>
      <c r="L183" s="3" t="s">
        <v>441</v>
      </c>
      <c r="M183" s="3" t="s">
        <v>441</v>
      </c>
      <c r="N183" s="3" t="s">
        <v>441</v>
      </c>
    </row>
    <row r="184" spans="1:14" ht="15" hidden="1" customHeight="1">
      <c r="A184" s="2">
        <v>183</v>
      </c>
      <c r="B184" s="11" t="s">
        <v>178</v>
      </c>
      <c r="D184" s="17">
        <v>69786496</v>
      </c>
      <c r="E184" s="10" t="s">
        <v>151</v>
      </c>
      <c r="F184" s="3" t="s">
        <v>386</v>
      </c>
      <c r="G184" s="6" t="s">
        <v>422</v>
      </c>
      <c r="H184" s="11" t="s">
        <v>8</v>
      </c>
      <c r="I184" s="2">
        <v>97</v>
      </c>
      <c r="J184" s="2">
        <v>100</v>
      </c>
      <c r="K184" s="2">
        <v>115</v>
      </c>
      <c r="L184" s="3" t="s">
        <v>461</v>
      </c>
      <c r="M184" s="3" t="s">
        <v>461</v>
      </c>
      <c r="N184" s="3" t="s">
        <v>461</v>
      </c>
    </row>
    <row r="185" spans="1:14" ht="15" hidden="1" customHeight="1">
      <c r="A185" s="2">
        <v>184</v>
      </c>
      <c r="B185" s="11" t="s">
        <v>179</v>
      </c>
      <c r="D185" s="17">
        <v>69964390</v>
      </c>
      <c r="E185" s="10" t="s">
        <v>180</v>
      </c>
      <c r="F185" s="3" t="s">
        <v>386</v>
      </c>
      <c r="G185" s="6" t="s">
        <v>423</v>
      </c>
      <c r="H185" s="11" t="s">
        <v>99</v>
      </c>
      <c r="I185" s="2">
        <v>494</v>
      </c>
      <c r="J185" s="2">
        <v>493</v>
      </c>
      <c r="K185" s="2">
        <v>536</v>
      </c>
      <c r="L185" s="3" t="s">
        <v>440</v>
      </c>
      <c r="M185" s="3" t="s">
        <v>440</v>
      </c>
      <c r="N185" s="3" t="s">
        <v>440</v>
      </c>
    </row>
    <row r="186" spans="1:14" ht="15" customHeight="1">
      <c r="A186" s="2">
        <v>185</v>
      </c>
      <c r="B186" s="11" t="s">
        <v>181</v>
      </c>
      <c r="D186" s="17">
        <v>69929051</v>
      </c>
      <c r="E186" s="28" t="s">
        <v>180</v>
      </c>
      <c r="F186" s="3" t="s">
        <v>386</v>
      </c>
      <c r="G186" s="6" t="s">
        <v>349</v>
      </c>
      <c r="H186" s="11" t="s">
        <v>8</v>
      </c>
      <c r="I186" s="2">
        <v>157</v>
      </c>
      <c r="J186" s="2">
        <v>137</v>
      </c>
      <c r="K186" s="2">
        <v>159</v>
      </c>
      <c r="L186" s="11" t="s">
        <v>469</v>
      </c>
      <c r="M186" s="29" t="s">
        <v>469</v>
      </c>
      <c r="N186" s="46" t="s">
        <v>469</v>
      </c>
    </row>
    <row r="187" spans="1:14" ht="15" hidden="1" customHeight="1">
      <c r="A187" s="2">
        <v>186</v>
      </c>
      <c r="B187" s="11" t="s">
        <v>255</v>
      </c>
      <c r="D187" s="17">
        <v>70056271</v>
      </c>
      <c r="E187" s="10" t="s">
        <v>180</v>
      </c>
      <c r="F187" s="3" t="s">
        <v>386</v>
      </c>
      <c r="G187" s="6" t="s">
        <v>423</v>
      </c>
      <c r="H187" s="11" t="s">
        <v>8</v>
      </c>
      <c r="I187" s="2">
        <v>20</v>
      </c>
      <c r="J187" s="2">
        <v>15</v>
      </c>
      <c r="K187" s="2">
        <v>22</v>
      </c>
      <c r="L187" s="3" t="s">
        <v>441</v>
      </c>
      <c r="M187" s="3" t="s">
        <v>441</v>
      </c>
      <c r="N187" s="3" t="s">
        <v>441</v>
      </c>
    </row>
    <row r="188" spans="1:14" ht="15" hidden="1" customHeight="1">
      <c r="A188" s="2">
        <v>187</v>
      </c>
      <c r="B188" s="12" t="s">
        <v>182</v>
      </c>
      <c r="D188" s="17">
        <v>69906513</v>
      </c>
      <c r="E188" s="22" t="s">
        <v>180</v>
      </c>
      <c r="F188" s="3" t="s">
        <v>386</v>
      </c>
      <c r="G188" s="6" t="s">
        <v>425</v>
      </c>
      <c r="H188" s="11" t="s">
        <v>8</v>
      </c>
      <c r="I188" s="2">
        <v>262</v>
      </c>
      <c r="J188" s="2">
        <v>263</v>
      </c>
      <c r="K188" s="35">
        <v>278</v>
      </c>
      <c r="L188" s="46" t="s">
        <v>431</v>
      </c>
      <c r="M188" s="46" t="s">
        <v>427</v>
      </c>
      <c r="N188" s="3" t="s">
        <v>435</v>
      </c>
    </row>
    <row r="189" spans="1:14" ht="15" hidden="1" customHeight="1">
      <c r="A189" s="2">
        <v>188</v>
      </c>
      <c r="B189" s="11" t="s">
        <v>183</v>
      </c>
      <c r="D189" s="17">
        <v>70038213</v>
      </c>
      <c r="E189" s="10" t="s">
        <v>180</v>
      </c>
      <c r="F189" s="3" t="s">
        <v>386</v>
      </c>
      <c r="G189" s="6" t="s">
        <v>422</v>
      </c>
      <c r="H189" s="11" t="s">
        <v>8</v>
      </c>
      <c r="I189" s="2">
        <v>149</v>
      </c>
      <c r="J189" s="2">
        <v>147</v>
      </c>
      <c r="K189" s="2">
        <v>162</v>
      </c>
      <c r="L189" s="3" t="s">
        <v>461</v>
      </c>
      <c r="M189" s="3" t="s">
        <v>461</v>
      </c>
      <c r="N189" s="3" t="s">
        <v>461</v>
      </c>
    </row>
    <row r="190" spans="1:14" ht="15" hidden="1" customHeight="1">
      <c r="A190" s="2">
        <v>189</v>
      </c>
      <c r="B190" s="55" t="s">
        <v>256</v>
      </c>
      <c r="D190" s="17">
        <v>70029865</v>
      </c>
      <c r="E190" s="10" t="s">
        <v>180</v>
      </c>
      <c r="F190" s="3" t="s">
        <v>386</v>
      </c>
      <c r="G190" s="6" t="s">
        <v>349</v>
      </c>
      <c r="H190" s="11" t="s">
        <v>8</v>
      </c>
      <c r="I190" s="2">
        <v>205</v>
      </c>
      <c r="J190" s="2">
        <v>205</v>
      </c>
      <c r="K190" s="2">
        <v>210</v>
      </c>
      <c r="L190" s="3" t="s">
        <v>442</v>
      </c>
      <c r="M190" s="3" t="s">
        <v>442</v>
      </c>
      <c r="N190" s="3" t="s">
        <v>442</v>
      </c>
    </row>
    <row r="191" spans="1:14" ht="15" hidden="1" customHeight="1">
      <c r="A191" s="2">
        <v>190</v>
      </c>
      <c r="B191" s="11" t="s">
        <v>184</v>
      </c>
      <c r="D191" s="17">
        <v>69930653</v>
      </c>
      <c r="E191" s="28" t="s">
        <v>180</v>
      </c>
      <c r="F191" s="3" t="s">
        <v>386</v>
      </c>
      <c r="G191" s="6" t="s">
        <v>420</v>
      </c>
      <c r="H191" s="11" t="s">
        <v>8</v>
      </c>
      <c r="I191" s="2">
        <v>96</v>
      </c>
      <c r="J191" s="2">
        <v>96</v>
      </c>
      <c r="K191" s="2">
        <v>114</v>
      </c>
      <c r="L191" s="46" t="s">
        <v>492</v>
      </c>
      <c r="M191" s="46" t="s">
        <v>424</v>
      </c>
      <c r="N191" s="46" t="s">
        <v>424</v>
      </c>
    </row>
    <row r="192" spans="1:14" ht="15" hidden="1" customHeight="1">
      <c r="A192" s="2">
        <v>191</v>
      </c>
      <c r="B192" s="11" t="s">
        <v>185</v>
      </c>
      <c r="D192" s="17">
        <v>70039709</v>
      </c>
      <c r="E192" s="45" t="s">
        <v>180</v>
      </c>
      <c r="F192" s="3" t="s">
        <v>386</v>
      </c>
      <c r="G192" s="6" t="s">
        <v>422</v>
      </c>
      <c r="H192" s="11" t="s">
        <v>8</v>
      </c>
      <c r="I192" s="2">
        <v>132</v>
      </c>
      <c r="J192" s="2">
        <v>132</v>
      </c>
      <c r="K192" s="2">
        <v>132</v>
      </c>
      <c r="L192" s="46" t="s">
        <v>491</v>
      </c>
      <c r="M192" s="46" t="s">
        <v>491</v>
      </c>
      <c r="N192" s="46" t="s">
        <v>491</v>
      </c>
    </row>
    <row r="193" spans="1:14" ht="15" hidden="1" customHeight="1">
      <c r="A193" s="2">
        <v>192</v>
      </c>
      <c r="B193" s="55" t="s">
        <v>186</v>
      </c>
      <c r="D193" s="17">
        <v>20252046</v>
      </c>
      <c r="E193" s="45" t="s">
        <v>180</v>
      </c>
      <c r="F193" s="3" t="s">
        <v>386</v>
      </c>
      <c r="G193" s="6" t="s">
        <v>320</v>
      </c>
      <c r="H193" s="11" t="s">
        <v>8</v>
      </c>
      <c r="I193" s="2">
        <v>505</v>
      </c>
      <c r="J193" s="2">
        <v>504</v>
      </c>
      <c r="K193" s="2">
        <v>525</v>
      </c>
      <c r="L193" s="3" t="s">
        <v>434</v>
      </c>
      <c r="M193" s="3" t="s">
        <v>434</v>
      </c>
      <c r="N193" s="3" t="s">
        <v>434</v>
      </c>
    </row>
    <row r="194" spans="1:14" ht="15" hidden="1" customHeight="1">
      <c r="A194" s="2">
        <v>193</v>
      </c>
      <c r="B194" s="11" t="s">
        <v>187</v>
      </c>
      <c r="D194" s="17">
        <v>20252051</v>
      </c>
      <c r="E194" s="45" t="s">
        <v>180</v>
      </c>
      <c r="F194" s="3" t="s">
        <v>386</v>
      </c>
      <c r="G194" s="6" t="s">
        <v>349</v>
      </c>
      <c r="H194" s="11" t="s">
        <v>8</v>
      </c>
      <c r="I194" s="2">
        <v>381</v>
      </c>
      <c r="J194" s="2">
        <v>387</v>
      </c>
      <c r="K194" s="2">
        <v>423</v>
      </c>
      <c r="L194" s="11" t="s">
        <v>414</v>
      </c>
      <c r="M194" s="11" t="s">
        <v>414</v>
      </c>
      <c r="N194" s="46" t="s">
        <v>414</v>
      </c>
    </row>
    <row r="195" spans="1:14" ht="15" hidden="1" customHeight="1">
      <c r="A195" s="2">
        <v>194</v>
      </c>
      <c r="B195" s="11" t="s">
        <v>188</v>
      </c>
      <c r="D195" s="17">
        <v>20252207</v>
      </c>
      <c r="E195" s="45" t="s">
        <v>189</v>
      </c>
      <c r="F195" s="3" t="s">
        <v>386</v>
      </c>
      <c r="G195" s="6" t="s">
        <v>417</v>
      </c>
      <c r="H195" s="11" t="s">
        <v>99</v>
      </c>
      <c r="I195" s="11">
        <v>1385</v>
      </c>
      <c r="J195" s="11">
        <v>1395</v>
      </c>
      <c r="K195" s="11">
        <v>1480</v>
      </c>
      <c r="L195" s="46" t="s">
        <v>417</v>
      </c>
      <c r="M195" s="46" t="s">
        <v>417</v>
      </c>
      <c r="N195" s="46" t="s">
        <v>417</v>
      </c>
    </row>
    <row r="196" spans="1:14" ht="15" hidden="1" customHeight="1">
      <c r="A196" s="2">
        <v>195</v>
      </c>
      <c r="B196" s="11" t="s">
        <v>190</v>
      </c>
      <c r="D196" s="17">
        <v>69883477</v>
      </c>
      <c r="E196" s="45" t="s">
        <v>189</v>
      </c>
      <c r="F196" s="3" t="s">
        <v>386</v>
      </c>
      <c r="G196" s="6" t="s">
        <v>421</v>
      </c>
      <c r="H196" s="11" t="s">
        <v>8</v>
      </c>
      <c r="I196" s="2">
        <v>95</v>
      </c>
      <c r="J196" s="2">
        <v>86</v>
      </c>
      <c r="K196" s="2">
        <v>97</v>
      </c>
      <c r="L196" s="3" t="s">
        <v>441</v>
      </c>
      <c r="M196" s="3" t="s">
        <v>441</v>
      </c>
      <c r="N196" s="3" t="s">
        <v>441</v>
      </c>
    </row>
    <row r="197" spans="1:14" hidden="1">
      <c r="A197" s="2">
        <v>196</v>
      </c>
      <c r="B197" s="55" t="s">
        <v>191</v>
      </c>
      <c r="D197" s="17">
        <v>69922328</v>
      </c>
      <c r="E197" s="45" t="s">
        <v>189</v>
      </c>
      <c r="F197" s="3" t="s">
        <v>386</v>
      </c>
      <c r="G197" s="6" t="s">
        <v>427</v>
      </c>
      <c r="H197" s="11" t="s">
        <v>8</v>
      </c>
      <c r="I197" s="2">
        <v>101</v>
      </c>
      <c r="J197" s="2">
        <v>102</v>
      </c>
      <c r="K197" s="2">
        <v>112</v>
      </c>
      <c r="L197" s="3" t="s">
        <v>435</v>
      </c>
      <c r="M197" s="46" t="s">
        <v>465</v>
      </c>
      <c r="N197" s="46" t="s">
        <v>516</v>
      </c>
    </row>
    <row r="198" spans="1:14" hidden="1">
      <c r="A198" s="2">
        <v>197</v>
      </c>
      <c r="B198" s="55" t="s">
        <v>192</v>
      </c>
      <c r="C198" s="42">
        <v>6</v>
      </c>
      <c r="D198" s="17">
        <v>69904592</v>
      </c>
      <c r="E198" s="66" t="s">
        <v>189</v>
      </c>
      <c r="F198" s="3" t="s">
        <v>386</v>
      </c>
      <c r="G198" s="6" t="s">
        <v>416</v>
      </c>
      <c r="H198" s="11" t="s">
        <v>8</v>
      </c>
      <c r="I198" s="2">
        <v>224</v>
      </c>
      <c r="J198" s="2">
        <v>252</v>
      </c>
      <c r="K198" s="2">
        <v>177</v>
      </c>
      <c r="L198" s="67" t="s">
        <v>424</v>
      </c>
      <c r="M198" s="3" t="s">
        <v>465</v>
      </c>
      <c r="N198" s="3" t="s">
        <v>424</v>
      </c>
    </row>
    <row r="199" spans="1:14" ht="15" hidden="1" customHeight="1">
      <c r="A199" s="2">
        <v>198</v>
      </c>
      <c r="B199" s="11" t="s">
        <v>193</v>
      </c>
      <c r="D199" s="17">
        <v>69896911</v>
      </c>
      <c r="E199" s="10" t="s">
        <v>189</v>
      </c>
      <c r="F199" s="3" t="s">
        <v>386</v>
      </c>
      <c r="G199" s="6" t="s">
        <v>415</v>
      </c>
      <c r="H199" s="11" t="s">
        <v>8</v>
      </c>
      <c r="I199" s="2">
        <v>400</v>
      </c>
      <c r="J199" s="2">
        <v>400</v>
      </c>
      <c r="K199" s="2">
        <v>437</v>
      </c>
      <c r="L199" s="46" t="s">
        <v>415</v>
      </c>
      <c r="M199" s="46" t="s">
        <v>415</v>
      </c>
      <c r="N199" s="46" t="s">
        <v>415</v>
      </c>
    </row>
    <row r="200" spans="1:14" ht="15" hidden="1" customHeight="1">
      <c r="A200" s="2">
        <v>199</v>
      </c>
      <c r="B200" s="55" t="s">
        <v>194</v>
      </c>
      <c r="C200" s="55"/>
      <c r="D200" s="57">
        <v>69886280</v>
      </c>
      <c r="E200" s="58" t="s">
        <v>189</v>
      </c>
      <c r="F200" s="56" t="s">
        <v>386</v>
      </c>
      <c r="G200" s="61" t="s">
        <v>420</v>
      </c>
      <c r="H200" s="55" t="s">
        <v>8</v>
      </c>
      <c r="I200" s="60">
        <v>74</v>
      </c>
      <c r="J200" s="60">
        <v>91</v>
      </c>
      <c r="K200" s="60">
        <v>90</v>
      </c>
      <c r="L200" s="55" t="s">
        <v>469</v>
      </c>
      <c r="M200" s="55" t="s">
        <v>424</v>
      </c>
      <c r="N200" s="56" t="s">
        <v>516</v>
      </c>
    </row>
    <row r="201" spans="1:14" ht="15" hidden="1" customHeight="1">
      <c r="A201" s="2">
        <v>200</v>
      </c>
      <c r="B201" s="11" t="s">
        <v>195</v>
      </c>
      <c r="D201" s="17">
        <v>20258557</v>
      </c>
      <c r="E201" s="10" t="s">
        <v>189</v>
      </c>
      <c r="F201" s="3" t="s">
        <v>386</v>
      </c>
      <c r="G201" s="6" t="s">
        <v>419</v>
      </c>
      <c r="H201" s="11" t="s">
        <v>8</v>
      </c>
      <c r="I201" s="2">
        <v>72</v>
      </c>
      <c r="J201" s="2">
        <v>76</v>
      </c>
      <c r="K201" s="2">
        <v>111</v>
      </c>
      <c r="L201" s="3" t="s">
        <v>443</v>
      </c>
      <c r="M201" s="3" t="s">
        <v>443</v>
      </c>
      <c r="N201" s="3" t="s">
        <v>443</v>
      </c>
    </row>
    <row r="202" spans="1:14" ht="15" hidden="1" customHeight="1">
      <c r="A202" s="2">
        <v>201</v>
      </c>
      <c r="B202" s="11" t="s">
        <v>196</v>
      </c>
      <c r="D202" s="17">
        <v>69914680</v>
      </c>
      <c r="E202" s="10" t="s">
        <v>189</v>
      </c>
      <c r="F202" s="3" t="s">
        <v>386</v>
      </c>
      <c r="G202" s="6" t="s">
        <v>418</v>
      </c>
      <c r="H202" s="11" t="s">
        <v>8</v>
      </c>
      <c r="I202" s="2">
        <v>97</v>
      </c>
      <c r="J202" s="2">
        <v>100</v>
      </c>
      <c r="K202" s="2">
        <v>110</v>
      </c>
      <c r="L202" s="3" t="s">
        <v>443</v>
      </c>
      <c r="M202" s="3" t="s">
        <v>443</v>
      </c>
      <c r="N202" s="3" t="s">
        <v>443</v>
      </c>
    </row>
    <row r="203" spans="1:14" ht="15" hidden="1" customHeight="1">
      <c r="A203" s="2">
        <v>202</v>
      </c>
      <c r="B203" s="11" t="s">
        <v>197</v>
      </c>
      <c r="D203" s="17">
        <v>69840945</v>
      </c>
      <c r="E203" s="10" t="s">
        <v>189</v>
      </c>
      <c r="F203" s="3" t="s">
        <v>386</v>
      </c>
      <c r="G203" s="6" t="s">
        <v>415</v>
      </c>
      <c r="H203" s="11" t="s">
        <v>8</v>
      </c>
      <c r="I203" s="2">
        <v>133</v>
      </c>
      <c r="J203" s="2">
        <v>119</v>
      </c>
      <c r="K203" s="2">
        <v>132</v>
      </c>
      <c r="L203" s="3" t="s">
        <v>435</v>
      </c>
      <c r="M203" s="3" t="s">
        <v>435</v>
      </c>
      <c r="N203" s="3" t="s">
        <v>435</v>
      </c>
    </row>
    <row r="204" spans="1:14" ht="15" hidden="1" customHeight="1">
      <c r="A204" s="2">
        <v>203</v>
      </c>
      <c r="B204" s="55" t="s">
        <v>198</v>
      </c>
      <c r="D204" s="17">
        <v>70041811</v>
      </c>
      <c r="E204" s="28" t="s">
        <v>189</v>
      </c>
      <c r="F204" s="3" t="s">
        <v>386</v>
      </c>
      <c r="G204" s="6" t="s">
        <v>320</v>
      </c>
      <c r="H204" s="11" t="s">
        <v>8</v>
      </c>
      <c r="I204" s="2">
        <v>112</v>
      </c>
      <c r="J204" s="2">
        <v>104</v>
      </c>
      <c r="K204" s="2">
        <v>134</v>
      </c>
      <c r="L204" s="3" t="s">
        <v>440</v>
      </c>
      <c r="M204" s="3" t="s">
        <v>439</v>
      </c>
      <c r="N204" s="3" t="s">
        <v>439</v>
      </c>
    </row>
    <row r="205" spans="1:14" ht="15" hidden="1" customHeight="1">
      <c r="A205" s="2">
        <v>204</v>
      </c>
      <c r="B205" s="55" t="s">
        <v>199</v>
      </c>
      <c r="D205" s="17">
        <v>20252205</v>
      </c>
      <c r="E205" s="10" t="s">
        <v>189</v>
      </c>
      <c r="F205" s="3" t="s">
        <v>386</v>
      </c>
      <c r="G205" s="6" t="s">
        <v>320</v>
      </c>
      <c r="H205" s="11" t="s">
        <v>8</v>
      </c>
      <c r="I205" s="2">
        <v>378</v>
      </c>
      <c r="J205" s="2">
        <v>378</v>
      </c>
      <c r="K205" s="2">
        <v>407</v>
      </c>
      <c r="L205" s="3" t="s">
        <v>434</v>
      </c>
      <c r="M205" s="3" t="s">
        <v>434</v>
      </c>
      <c r="N205" s="3" t="s">
        <v>434</v>
      </c>
    </row>
    <row r="206" spans="1:14" ht="15" hidden="1" customHeight="1">
      <c r="A206" s="2">
        <v>205</v>
      </c>
      <c r="B206" s="11" t="s">
        <v>200</v>
      </c>
      <c r="D206" s="17">
        <v>69786221</v>
      </c>
      <c r="E206" s="66" t="s">
        <v>189</v>
      </c>
      <c r="F206" s="3" t="s">
        <v>386</v>
      </c>
      <c r="G206" s="6" t="s">
        <v>416</v>
      </c>
      <c r="H206" s="11" t="s">
        <v>8</v>
      </c>
      <c r="I206" s="2">
        <v>121</v>
      </c>
      <c r="J206" s="2">
        <v>125</v>
      </c>
      <c r="K206" s="2">
        <v>135</v>
      </c>
      <c r="L206" s="46" t="s">
        <v>431</v>
      </c>
      <c r="M206" s="46" t="s">
        <v>464</v>
      </c>
      <c r="N206" s="3" t="s">
        <v>518</v>
      </c>
    </row>
    <row r="207" spans="1:14" ht="15" hidden="1" customHeight="1">
      <c r="A207" s="2">
        <v>206</v>
      </c>
      <c r="B207" s="11" t="s">
        <v>201</v>
      </c>
      <c r="D207" s="17">
        <v>69755828</v>
      </c>
      <c r="E207" s="45" t="s">
        <v>189</v>
      </c>
      <c r="F207" s="3" t="s">
        <v>386</v>
      </c>
      <c r="G207" s="6" t="s">
        <v>426</v>
      </c>
      <c r="H207" s="11" t="s">
        <v>8</v>
      </c>
      <c r="I207" s="2">
        <v>799</v>
      </c>
      <c r="J207" s="2">
        <v>796</v>
      </c>
      <c r="K207" s="2">
        <v>864</v>
      </c>
      <c r="L207" s="3" t="s">
        <v>462</v>
      </c>
      <c r="M207" s="3" t="s">
        <v>462</v>
      </c>
      <c r="N207" s="3" t="s">
        <v>462</v>
      </c>
    </row>
    <row r="208" spans="1:14" ht="15" hidden="1" customHeight="1">
      <c r="A208" s="2">
        <v>207</v>
      </c>
      <c r="B208" s="55" t="s">
        <v>202</v>
      </c>
      <c r="D208" s="17">
        <v>20256557</v>
      </c>
      <c r="E208" s="28" t="s">
        <v>189</v>
      </c>
      <c r="F208" s="3" t="s">
        <v>386</v>
      </c>
      <c r="G208" s="6" t="s">
        <v>320</v>
      </c>
      <c r="H208" s="11" t="s">
        <v>8</v>
      </c>
      <c r="I208" s="2">
        <v>495</v>
      </c>
      <c r="J208" s="2">
        <v>506</v>
      </c>
      <c r="K208" s="2">
        <v>539</v>
      </c>
      <c r="L208" s="46" t="s">
        <v>439</v>
      </c>
      <c r="M208" s="3" t="s">
        <v>439</v>
      </c>
      <c r="N208" s="3" t="s">
        <v>439</v>
      </c>
    </row>
    <row r="209" spans="1:14" ht="15" hidden="1" customHeight="1">
      <c r="A209" s="2">
        <v>208</v>
      </c>
      <c r="B209" s="11" t="s">
        <v>203</v>
      </c>
      <c r="D209" s="17">
        <v>20268529</v>
      </c>
      <c r="E209" s="10" t="s">
        <v>189</v>
      </c>
      <c r="F209" s="3" t="s">
        <v>386</v>
      </c>
      <c r="G209" s="6" t="s">
        <v>349</v>
      </c>
      <c r="H209" s="11" t="s">
        <v>8</v>
      </c>
      <c r="I209" s="2">
        <v>122</v>
      </c>
      <c r="J209" s="2">
        <v>119</v>
      </c>
      <c r="K209" s="2">
        <v>146</v>
      </c>
      <c r="L209" s="11" t="s">
        <v>414</v>
      </c>
      <c r="M209" s="11" t="s">
        <v>414</v>
      </c>
      <c r="N209" s="46" t="s">
        <v>414</v>
      </c>
    </row>
    <row r="210" spans="1:14" ht="15" hidden="1" customHeight="1">
      <c r="A210" s="2">
        <v>209</v>
      </c>
      <c r="B210" s="11" t="s">
        <v>204</v>
      </c>
      <c r="D210" s="17">
        <v>20203729</v>
      </c>
      <c r="E210" s="10" t="s">
        <v>189</v>
      </c>
      <c r="F210" s="3" t="s">
        <v>386</v>
      </c>
      <c r="G210" s="6" t="s">
        <v>349</v>
      </c>
      <c r="H210" s="11" t="s">
        <v>8</v>
      </c>
      <c r="I210" s="46">
        <v>1554</v>
      </c>
      <c r="J210" s="46">
        <v>1556</v>
      </c>
      <c r="K210" s="46">
        <v>1614</v>
      </c>
      <c r="L210" s="46" t="s">
        <v>460</v>
      </c>
      <c r="M210" s="46" t="s">
        <v>460</v>
      </c>
      <c r="N210" s="46" t="s">
        <v>460</v>
      </c>
    </row>
    <row r="211" spans="1:14" ht="15" hidden="1" customHeight="1">
      <c r="A211" s="2">
        <v>210</v>
      </c>
      <c r="B211" s="11" t="s">
        <v>205</v>
      </c>
      <c r="D211" s="17">
        <v>20203803</v>
      </c>
      <c r="E211" s="10" t="s">
        <v>189</v>
      </c>
      <c r="F211" s="3" t="s">
        <v>386</v>
      </c>
      <c r="G211" s="6" t="s">
        <v>422</v>
      </c>
      <c r="H211" s="11" t="s">
        <v>8</v>
      </c>
      <c r="I211" s="2">
        <v>171</v>
      </c>
      <c r="J211" s="2">
        <v>124</v>
      </c>
      <c r="K211" s="2">
        <v>146</v>
      </c>
      <c r="L211" s="3" t="s">
        <v>468</v>
      </c>
      <c r="M211" s="3" t="s">
        <v>468</v>
      </c>
      <c r="N211" s="3" t="s">
        <v>468</v>
      </c>
    </row>
    <row r="212" spans="1:14" ht="15" hidden="1" customHeight="1">
      <c r="A212" s="2">
        <v>211</v>
      </c>
      <c r="B212" s="11" t="s">
        <v>206</v>
      </c>
      <c r="D212" s="45" t="s">
        <v>207</v>
      </c>
      <c r="E212" s="10" t="s">
        <v>208</v>
      </c>
      <c r="F212" s="3" t="s">
        <v>386</v>
      </c>
      <c r="G212" s="6"/>
      <c r="H212" s="11" t="s">
        <v>8</v>
      </c>
      <c r="I212" s="2">
        <v>160</v>
      </c>
      <c r="J212" s="2"/>
      <c r="K212" s="2"/>
      <c r="L212" s="3"/>
      <c r="M212" s="3"/>
      <c r="N212" s="3"/>
    </row>
    <row r="213" spans="1:14" ht="15" hidden="1" customHeight="1">
      <c r="A213" s="2">
        <v>212</v>
      </c>
      <c r="B213" s="11" t="s">
        <v>209</v>
      </c>
      <c r="D213" s="45" t="s">
        <v>210</v>
      </c>
      <c r="E213" s="10" t="s">
        <v>208</v>
      </c>
      <c r="F213" s="3" t="s">
        <v>386</v>
      </c>
      <c r="G213" s="6"/>
      <c r="H213" s="11" t="s">
        <v>8</v>
      </c>
      <c r="I213" s="2">
        <v>235</v>
      </c>
      <c r="J213" s="2"/>
      <c r="K213" s="2"/>
      <c r="L213" s="3"/>
      <c r="M213" s="3"/>
      <c r="N213" s="3"/>
    </row>
    <row r="214" spans="1:14" ht="15" hidden="1" customHeight="1">
      <c r="A214" s="2">
        <v>213</v>
      </c>
      <c r="B214" s="11" t="s">
        <v>211</v>
      </c>
      <c r="D214" s="45" t="s">
        <v>212</v>
      </c>
      <c r="E214" s="45" t="s">
        <v>208</v>
      </c>
      <c r="F214" s="3" t="s">
        <v>386</v>
      </c>
      <c r="G214" s="6"/>
      <c r="H214" s="11" t="s">
        <v>8</v>
      </c>
      <c r="I214" s="2">
        <v>0</v>
      </c>
      <c r="J214" s="2"/>
      <c r="K214" s="2"/>
      <c r="L214" s="3"/>
      <c r="M214" s="3"/>
      <c r="N214" s="3"/>
    </row>
    <row r="215" spans="1:14" ht="15" hidden="1" customHeight="1">
      <c r="A215" s="2">
        <v>214</v>
      </c>
      <c r="B215" s="11" t="s">
        <v>213</v>
      </c>
      <c r="D215" s="45" t="s">
        <v>214</v>
      </c>
      <c r="E215" s="45" t="s">
        <v>208</v>
      </c>
      <c r="F215" s="3" t="s">
        <v>386</v>
      </c>
      <c r="G215" s="6"/>
      <c r="H215" s="11" t="s">
        <v>8</v>
      </c>
      <c r="I215" s="2">
        <v>173</v>
      </c>
      <c r="J215" s="2"/>
      <c r="K215" s="2"/>
      <c r="L215" s="3"/>
      <c r="M215" s="3"/>
      <c r="N215" s="3"/>
    </row>
    <row r="216" spans="1:14" ht="15" hidden="1" customHeight="1">
      <c r="A216" s="2">
        <v>215</v>
      </c>
      <c r="B216" s="11" t="s">
        <v>215</v>
      </c>
      <c r="D216" s="45" t="s">
        <v>216</v>
      </c>
      <c r="E216" s="45" t="s">
        <v>208</v>
      </c>
      <c r="F216" s="3" t="s">
        <v>386</v>
      </c>
      <c r="G216" s="6"/>
      <c r="H216" s="11" t="s">
        <v>8</v>
      </c>
      <c r="I216" s="2">
        <v>1</v>
      </c>
      <c r="J216" s="2"/>
      <c r="K216" s="2"/>
      <c r="L216" s="3"/>
      <c r="M216" s="3"/>
      <c r="N216" s="3"/>
    </row>
    <row r="217" spans="1:14" ht="15" hidden="1" customHeight="1">
      <c r="A217" s="2">
        <v>216</v>
      </c>
      <c r="B217" s="11" t="s">
        <v>217</v>
      </c>
      <c r="D217" s="45" t="s">
        <v>218</v>
      </c>
      <c r="E217" s="45" t="s">
        <v>208</v>
      </c>
      <c r="F217" s="3" t="s">
        <v>386</v>
      </c>
      <c r="G217" s="6"/>
      <c r="H217" s="11" t="s">
        <v>8</v>
      </c>
      <c r="I217" s="2">
        <v>349</v>
      </c>
      <c r="J217" s="2">
        <v>77</v>
      </c>
      <c r="K217" s="2">
        <v>85</v>
      </c>
      <c r="L217" s="3" t="s">
        <v>443</v>
      </c>
      <c r="M217" s="3" t="s">
        <v>443</v>
      </c>
      <c r="N217" s="3" t="s">
        <v>443</v>
      </c>
    </row>
    <row r="218" spans="1:14" ht="15" hidden="1" customHeight="1">
      <c r="A218" s="2">
        <v>217</v>
      </c>
      <c r="B218" s="11" t="s">
        <v>219</v>
      </c>
      <c r="D218" s="45" t="s">
        <v>220</v>
      </c>
      <c r="E218" s="10" t="s">
        <v>208</v>
      </c>
      <c r="F218" s="3" t="s">
        <v>386</v>
      </c>
      <c r="G218" s="6"/>
      <c r="H218" s="11" t="s">
        <v>8</v>
      </c>
      <c r="I218" s="2">
        <v>271</v>
      </c>
      <c r="J218" s="2"/>
      <c r="K218" s="2"/>
      <c r="L218" s="3"/>
      <c r="M218" s="3"/>
      <c r="N218" s="3"/>
    </row>
    <row r="219" spans="1:14" ht="15" hidden="1" customHeight="1">
      <c r="A219" s="2">
        <v>218</v>
      </c>
      <c r="B219" s="11" t="s">
        <v>221</v>
      </c>
      <c r="D219" s="45" t="s">
        <v>222</v>
      </c>
      <c r="E219" s="10" t="s">
        <v>208</v>
      </c>
      <c r="F219" s="3" t="s">
        <v>386</v>
      </c>
      <c r="G219" s="6"/>
      <c r="H219" s="11" t="s">
        <v>8</v>
      </c>
      <c r="I219" s="2">
        <v>0</v>
      </c>
      <c r="J219" s="2"/>
      <c r="K219" s="2"/>
      <c r="L219" s="3"/>
      <c r="M219" s="3"/>
      <c r="N219" s="3"/>
    </row>
    <row r="220" spans="1:14" ht="15" hidden="1" customHeight="1">
      <c r="A220" s="2">
        <v>219</v>
      </c>
      <c r="B220" s="11" t="s">
        <v>223</v>
      </c>
      <c r="D220" s="45" t="s">
        <v>224</v>
      </c>
      <c r="E220" s="10" t="s">
        <v>208</v>
      </c>
      <c r="F220" s="3" t="s">
        <v>386</v>
      </c>
      <c r="G220" s="6"/>
      <c r="H220" s="11" t="s">
        <v>8</v>
      </c>
      <c r="I220" s="2">
        <v>165</v>
      </c>
      <c r="J220" s="2"/>
      <c r="K220" s="2"/>
      <c r="L220" s="3"/>
      <c r="M220" s="3"/>
      <c r="N220" s="3"/>
    </row>
    <row r="221" spans="1:14" ht="15" hidden="1" customHeight="1">
      <c r="A221" s="2">
        <v>220</v>
      </c>
      <c r="B221" s="11" t="s">
        <v>225</v>
      </c>
      <c r="D221" s="45" t="s">
        <v>226</v>
      </c>
      <c r="E221" s="10" t="s">
        <v>208</v>
      </c>
      <c r="F221" s="3" t="s">
        <v>386</v>
      </c>
      <c r="G221" s="6"/>
      <c r="H221" s="11" t="s">
        <v>8</v>
      </c>
      <c r="I221" s="2">
        <v>307</v>
      </c>
      <c r="J221" s="2"/>
      <c r="K221" s="2"/>
      <c r="L221" s="3"/>
      <c r="M221" s="3"/>
      <c r="N221" s="3"/>
    </row>
    <row r="222" spans="1:14" ht="15" hidden="1" customHeight="1">
      <c r="A222" s="2">
        <v>221</v>
      </c>
      <c r="B222" s="11" t="s">
        <v>227</v>
      </c>
      <c r="D222" s="45" t="s">
        <v>228</v>
      </c>
      <c r="E222" s="10" t="s">
        <v>208</v>
      </c>
      <c r="F222" s="3" t="s">
        <v>386</v>
      </c>
      <c r="G222" s="6"/>
      <c r="H222" s="11" t="s">
        <v>8</v>
      </c>
      <c r="I222" s="2">
        <v>247</v>
      </c>
      <c r="J222" s="2"/>
      <c r="K222" s="2"/>
      <c r="L222" s="3"/>
      <c r="M222" s="3"/>
      <c r="N222" s="3"/>
    </row>
    <row r="223" spans="1:14" ht="15" hidden="1" customHeight="1">
      <c r="A223" s="2">
        <v>222</v>
      </c>
      <c r="B223" s="11" t="s">
        <v>229</v>
      </c>
      <c r="D223" s="45" t="s">
        <v>230</v>
      </c>
      <c r="E223" s="10" t="s">
        <v>208</v>
      </c>
      <c r="F223" s="3" t="s">
        <v>386</v>
      </c>
      <c r="G223" s="6"/>
      <c r="H223" s="11" t="s">
        <v>8</v>
      </c>
      <c r="I223" s="2">
        <v>0</v>
      </c>
      <c r="J223" s="2"/>
      <c r="K223" s="2"/>
      <c r="L223" s="3"/>
      <c r="M223" s="3"/>
      <c r="N223" s="3"/>
    </row>
    <row r="224" spans="1:14" ht="15" hidden="1" customHeight="1">
      <c r="A224" s="2">
        <v>223</v>
      </c>
      <c r="B224" s="11" t="s">
        <v>231</v>
      </c>
      <c r="D224" s="45" t="s">
        <v>232</v>
      </c>
      <c r="E224" s="10" t="s">
        <v>208</v>
      </c>
      <c r="F224" s="3" t="s">
        <v>386</v>
      </c>
      <c r="G224" s="6"/>
      <c r="H224" s="11" t="s">
        <v>8</v>
      </c>
      <c r="I224" s="2">
        <v>37</v>
      </c>
      <c r="J224" s="2"/>
      <c r="K224" s="2"/>
      <c r="L224" s="3"/>
      <c r="M224" s="3"/>
      <c r="N224" s="3"/>
    </row>
    <row r="225" spans="1:14" ht="15" hidden="1" customHeight="1">
      <c r="A225" s="2">
        <v>224</v>
      </c>
      <c r="B225" s="11" t="s">
        <v>233</v>
      </c>
      <c r="D225" s="45" t="s">
        <v>234</v>
      </c>
      <c r="E225" s="10" t="s">
        <v>208</v>
      </c>
      <c r="F225" s="3" t="s">
        <v>386</v>
      </c>
      <c r="G225" s="6"/>
      <c r="H225" s="11" t="s">
        <v>8</v>
      </c>
      <c r="I225" s="2">
        <v>354</v>
      </c>
      <c r="J225" s="2"/>
      <c r="K225" s="2"/>
      <c r="L225" s="3"/>
      <c r="M225" s="3"/>
      <c r="N225" s="3"/>
    </row>
    <row r="226" spans="1:14" ht="15" hidden="1" customHeight="1">
      <c r="A226" s="2">
        <v>225</v>
      </c>
      <c r="B226" s="11" t="s">
        <v>235</v>
      </c>
      <c r="D226" s="45" t="s">
        <v>236</v>
      </c>
      <c r="E226" s="10" t="s">
        <v>208</v>
      </c>
      <c r="F226" s="3" t="s">
        <v>386</v>
      </c>
      <c r="G226" s="6"/>
      <c r="H226" s="11" t="s">
        <v>8</v>
      </c>
      <c r="I226" s="2">
        <v>62</v>
      </c>
      <c r="J226" s="2"/>
      <c r="K226" s="2"/>
      <c r="L226" s="3"/>
      <c r="M226" s="3"/>
      <c r="N226" s="3"/>
    </row>
    <row r="227" spans="1:14" ht="15" hidden="1" customHeight="1">
      <c r="A227" s="2">
        <v>226</v>
      </c>
      <c r="B227" s="11" t="s">
        <v>237</v>
      </c>
      <c r="D227" s="17">
        <v>20254693</v>
      </c>
      <c r="E227" s="10" t="s">
        <v>238</v>
      </c>
      <c r="F227" s="3" t="s">
        <v>386</v>
      </c>
      <c r="G227" s="6" t="s">
        <v>419</v>
      </c>
      <c r="H227" s="11" t="s">
        <v>8</v>
      </c>
      <c r="I227" s="2">
        <v>101</v>
      </c>
      <c r="J227" s="2">
        <v>98</v>
      </c>
      <c r="K227" s="2">
        <v>117</v>
      </c>
      <c r="L227" s="3" t="s">
        <v>443</v>
      </c>
      <c r="M227" s="3" t="s">
        <v>443</v>
      </c>
      <c r="N227" s="3" t="s">
        <v>443</v>
      </c>
    </row>
    <row r="228" spans="1:14" ht="15" hidden="1" customHeight="1">
      <c r="A228" s="2">
        <v>227</v>
      </c>
      <c r="B228" s="11" t="s">
        <v>317</v>
      </c>
      <c r="D228" s="17">
        <v>101232030079</v>
      </c>
      <c r="E228" s="24" t="s">
        <v>380</v>
      </c>
      <c r="F228" s="3" t="s">
        <v>386</v>
      </c>
      <c r="G228" s="3" t="s">
        <v>425</v>
      </c>
      <c r="H228" s="11" t="s">
        <v>8</v>
      </c>
      <c r="I228" s="46">
        <v>18</v>
      </c>
      <c r="J228" s="46"/>
      <c r="K228" s="46"/>
      <c r="L228" s="46"/>
      <c r="M228" s="46" t="s">
        <v>414</v>
      </c>
      <c r="N228" s="46" t="s">
        <v>414</v>
      </c>
    </row>
    <row r="229" spans="1:14" ht="15" hidden="1" customHeight="1">
      <c r="A229" s="2">
        <v>228</v>
      </c>
      <c r="B229" s="11" t="s">
        <v>318</v>
      </c>
      <c r="D229" s="17">
        <v>101232030080</v>
      </c>
      <c r="E229" s="24" t="s">
        <v>380</v>
      </c>
      <c r="F229" s="3" t="s">
        <v>386</v>
      </c>
      <c r="G229" s="3"/>
      <c r="H229" s="11" t="s">
        <v>8</v>
      </c>
      <c r="I229" s="11">
        <v>40</v>
      </c>
      <c r="J229" s="11">
        <v>40</v>
      </c>
      <c r="K229" s="11">
        <v>40</v>
      </c>
      <c r="L229" s="46"/>
      <c r="M229" s="46" t="s">
        <v>443</v>
      </c>
      <c r="N229" s="46" t="s">
        <v>443</v>
      </c>
    </row>
    <row r="230" spans="1:14" ht="15" hidden="1" customHeight="1">
      <c r="A230" s="2">
        <v>229</v>
      </c>
      <c r="B230" s="55" t="s">
        <v>319</v>
      </c>
      <c r="D230" s="17">
        <v>101232030081</v>
      </c>
      <c r="E230" s="24" t="s">
        <v>380</v>
      </c>
      <c r="F230" s="3" t="s">
        <v>386</v>
      </c>
      <c r="G230" s="3"/>
      <c r="H230" s="11" t="s">
        <v>8</v>
      </c>
      <c r="I230" s="11">
        <v>20</v>
      </c>
      <c r="J230" s="11">
        <v>32</v>
      </c>
      <c r="K230" s="11">
        <v>36</v>
      </c>
      <c r="L230" s="3" t="s">
        <v>434</v>
      </c>
      <c r="M230" s="3" t="s">
        <v>434</v>
      </c>
      <c r="N230" s="3" t="s">
        <v>434</v>
      </c>
    </row>
    <row r="231" spans="1:14" ht="15" hidden="1" customHeight="1">
      <c r="A231" s="2">
        <v>230</v>
      </c>
      <c r="B231" s="55" t="s">
        <v>321</v>
      </c>
      <c r="D231" s="17">
        <v>101232030082</v>
      </c>
      <c r="E231" s="24" t="s">
        <v>380</v>
      </c>
      <c r="F231" s="3" t="s">
        <v>386</v>
      </c>
      <c r="G231" s="3"/>
      <c r="H231" s="11" t="s">
        <v>8</v>
      </c>
      <c r="I231" s="11">
        <v>34</v>
      </c>
      <c r="J231" s="11">
        <v>41</v>
      </c>
      <c r="K231" s="11">
        <v>49</v>
      </c>
      <c r="L231" s="46" t="s">
        <v>442</v>
      </c>
      <c r="M231" s="46" t="s">
        <v>442</v>
      </c>
      <c r="N231" s="46" t="s">
        <v>442</v>
      </c>
    </row>
    <row r="232" spans="1:14" ht="15" hidden="1" customHeight="1">
      <c r="A232" s="2">
        <v>231</v>
      </c>
      <c r="B232" s="55" t="s">
        <v>322</v>
      </c>
      <c r="D232" s="17">
        <v>101232030083</v>
      </c>
      <c r="E232" s="24" t="s">
        <v>380</v>
      </c>
      <c r="F232" s="3" t="s">
        <v>386</v>
      </c>
      <c r="G232" s="3"/>
      <c r="H232" s="11" t="s">
        <v>8</v>
      </c>
      <c r="I232" s="42">
        <v>20</v>
      </c>
      <c r="J232" s="42">
        <v>27</v>
      </c>
      <c r="K232" s="42">
        <v>32</v>
      </c>
      <c r="L232" s="46" t="s">
        <v>439</v>
      </c>
      <c r="M232" s="3" t="s">
        <v>439</v>
      </c>
      <c r="N232" s="3" t="s">
        <v>439</v>
      </c>
    </row>
    <row r="233" spans="1:14" hidden="1">
      <c r="A233" s="2">
        <v>232</v>
      </c>
      <c r="B233" s="55" t="s">
        <v>323</v>
      </c>
      <c r="C233" s="29">
        <v>6</v>
      </c>
      <c r="D233" s="17">
        <v>101232030084</v>
      </c>
      <c r="E233" s="24" t="s">
        <v>380</v>
      </c>
      <c r="F233" s="3" t="s">
        <v>386</v>
      </c>
      <c r="G233" s="3"/>
      <c r="H233" s="11" t="s">
        <v>8</v>
      </c>
      <c r="I233" s="29">
        <v>52</v>
      </c>
      <c r="J233" s="29">
        <v>48</v>
      </c>
      <c r="K233" s="29">
        <v>55</v>
      </c>
      <c r="L233" s="67" t="s">
        <v>424</v>
      </c>
      <c r="M233" s="3" t="s">
        <v>465</v>
      </c>
      <c r="N233" s="3" t="s">
        <v>424</v>
      </c>
    </row>
    <row r="234" spans="1:14" ht="15" hidden="1" customHeight="1">
      <c r="A234" s="2">
        <v>233</v>
      </c>
      <c r="B234" s="11" t="s">
        <v>324</v>
      </c>
      <c r="D234" s="17">
        <v>101232030085</v>
      </c>
      <c r="E234" s="24" t="s">
        <v>380</v>
      </c>
      <c r="F234" s="3" t="s">
        <v>386</v>
      </c>
      <c r="G234" s="3"/>
      <c r="H234" s="11" t="s">
        <v>8</v>
      </c>
      <c r="I234" s="11">
        <v>30</v>
      </c>
      <c r="J234" s="11">
        <v>34</v>
      </c>
      <c r="K234" s="11">
        <v>40</v>
      </c>
      <c r="L234" s="46" t="s">
        <v>460</v>
      </c>
      <c r="M234" s="46" t="s">
        <v>460</v>
      </c>
      <c r="N234" s="46" t="s">
        <v>460</v>
      </c>
    </row>
    <row r="235" spans="1:14" ht="15" hidden="1" customHeight="1">
      <c r="A235" s="2">
        <v>234</v>
      </c>
      <c r="B235" s="11" t="s">
        <v>325</v>
      </c>
      <c r="D235" s="17">
        <v>101232030086</v>
      </c>
      <c r="E235" s="24" t="s">
        <v>380</v>
      </c>
      <c r="F235" s="3" t="s">
        <v>386</v>
      </c>
      <c r="G235" s="3"/>
      <c r="H235" s="11" t="s">
        <v>8</v>
      </c>
      <c r="I235" s="67">
        <v>68</v>
      </c>
      <c r="J235" s="67">
        <v>62</v>
      </c>
      <c r="K235" s="67">
        <v>62</v>
      </c>
      <c r="L235" s="11" t="s">
        <v>464</v>
      </c>
      <c r="M235" s="11" t="s">
        <v>464</v>
      </c>
      <c r="N235" s="67" t="s">
        <v>464</v>
      </c>
    </row>
    <row r="236" spans="1:14" ht="15" customHeight="1">
      <c r="A236" s="2">
        <v>235</v>
      </c>
      <c r="B236" s="11" t="s">
        <v>326</v>
      </c>
      <c r="D236" s="17">
        <v>101232030087</v>
      </c>
      <c r="E236" s="24" t="s">
        <v>380</v>
      </c>
      <c r="F236" s="3" t="s">
        <v>386</v>
      </c>
      <c r="G236" s="3"/>
      <c r="H236" s="11" t="s">
        <v>8</v>
      </c>
      <c r="I236" s="46">
        <v>30</v>
      </c>
      <c r="J236" s="46">
        <v>17</v>
      </c>
      <c r="K236" s="46">
        <v>20</v>
      </c>
      <c r="L236" s="3" t="s">
        <v>442</v>
      </c>
      <c r="M236" s="3" t="s">
        <v>469</v>
      </c>
      <c r="N236" s="3" t="s">
        <v>469</v>
      </c>
    </row>
    <row r="237" spans="1:14" ht="15" hidden="1" customHeight="1">
      <c r="A237" s="60">
        <v>236</v>
      </c>
      <c r="B237" s="55" t="s">
        <v>327</v>
      </c>
      <c r="C237" s="55"/>
      <c r="D237" s="57">
        <v>101232030088</v>
      </c>
      <c r="E237" s="64" t="s">
        <v>380</v>
      </c>
      <c r="F237" s="56" t="s">
        <v>386</v>
      </c>
      <c r="G237" s="56"/>
      <c r="H237" s="55" t="s">
        <v>8</v>
      </c>
      <c r="I237" s="55">
        <v>26</v>
      </c>
      <c r="J237" s="55">
        <v>17</v>
      </c>
      <c r="K237" s="55">
        <v>20</v>
      </c>
      <c r="L237" s="55" t="s">
        <v>418</v>
      </c>
      <c r="M237" s="55" t="s">
        <v>418</v>
      </c>
      <c r="N237" s="56" t="s">
        <v>519</v>
      </c>
    </row>
    <row r="238" spans="1:14" ht="15" hidden="1" customHeight="1">
      <c r="A238" s="2">
        <v>237</v>
      </c>
      <c r="B238" s="11" t="s">
        <v>328</v>
      </c>
      <c r="D238" s="17">
        <v>101232030089</v>
      </c>
      <c r="E238" s="24" t="s">
        <v>380</v>
      </c>
      <c r="F238" s="3" t="s">
        <v>386</v>
      </c>
      <c r="G238" s="3"/>
      <c r="H238" s="11" t="s">
        <v>8</v>
      </c>
      <c r="I238" s="46">
        <v>41</v>
      </c>
      <c r="J238" s="46">
        <v>48</v>
      </c>
      <c r="K238" s="46">
        <v>54</v>
      </c>
      <c r="L238" s="3" t="s">
        <v>443</v>
      </c>
      <c r="M238" s="3" t="s">
        <v>443</v>
      </c>
      <c r="N238" s="3" t="s">
        <v>443</v>
      </c>
    </row>
    <row r="239" spans="1:14" ht="15" hidden="1" customHeight="1">
      <c r="A239" s="2">
        <v>238</v>
      </c>
      <c r="B239" s="14" t="s">
        <v>329</v>
      </c>
      <c r="D239" s="17">
        <v>101232030090</v>
      </c>
      <c r="E239" s="24" t="s">
        <v>380</v>
      </c>
      <c r="F239" s="3" t="s">
        <v>386</v>
      </c>
      <c r="G239" s="3"/>
      <c r="H239" s="11" t="s">
        <v>8</v>
      </c>
      <c r="I239" s="46">
        <v>17</v>
      </c>
      <c r="J239" s="46">
        <v>17</v>
      </c>
      <c r="K239" s="46">
        <v>17</v>
      </c>
      <c r="L239" s="29"/>
      <c r="M239" s="3" t="s">
        <v>439</v>
      </c>
      <c r="N239" s="3"/>
    </row>
    <row r="240" spans="1:14" ht="15" hidden="1" customHeight="1">
      <c r="A240" s="2">
        <v>239</v>
      </c>
      <c r="B240" s="12" t="s">
        <v>330</v>
      </c>
      <c r="D240" s="17">
        <v>101232030091</v>
      </c>
      <c r="E240" s="24" t="s">
        <v>380</v>
      </c>
      <c r="F240" s="3" t="s">
        <v>386</v>
      </c>
      <c r="G240" s="3"/>
      <c r="H240" s="11" t="s">
        <v>8</v>
      </c>
      <c r="I240" s="46">
        <v>56</v>
      </c>
      <c r="J240" s="46">
        <v>59</v>
      </c>
      <c r="K240" s="12">
        <v>65</v>
      </c>
      <c r="L240" s="11" t="s">
        <v>431</v>
      </c>
      <c r="M240" s="11" t="s">
        <v>427</v>
      </c>
      <c r="N240" s="3" t="s">
        <v>435</v>
      </c>
    </row>
    <row r="241" spans="1:14" ht="15" hidden="1" customHeight="1">
      <c r="A241" s="2">
        <v>240</v>
      </c>
      <c r="B241" s="11" t="s">
        <v>331</v>
      </c>
      <c r="D241" s="17">
        <v>101232030092</v>
      </c>
      <c r="E241" s="24" t="s">
        <v>380</v>
      </c>
      <c r="F241" s="3" t="s">
        <v>386</v>
      </c>
      <c r="G241" s="3"/>
      <c r="H241" s="11" t="s">
        <v>8</v>
      </c>
      <c r="I241" s="46">
        <v>42</v>
      </c>
      <c r="J241" s="46">
        <v>29</v>
      </c>
      <c r="K241" s="46">
        <v>37</v>
      </c>
      <c r="L241" s="11" t="s">
        <v>418</v>
      </c>
      <c r="M241" s="11" t="s">
        <v>431</v>
      </c>
      <c r="N241" s="46" t="s">
        <v>431</v>
      </c>
    </row>
    <row r="242" spans="1:14" ht="15" customHeight="1">
      <c r="A242" s="2">
        <v>241</v>
      </c>
      <c r="B242" s="11" t="s">
        <v>332</v>
      </c>
      <c r="D242" s="17">
        <v>101232030093</v>
      </c>
      <c r="E242" s="24" t="s">
        <v>380</v>
      </c>
      <c r="F242" s="3" t="s">
        <v>386</v>
      </c>
      <c r="G242" s="3"/>
      <c r="H242" s="11" t="s">
        <v>8</v>
      </c>
      <c r="I242" s="46">
        <v>33</v>
      </c>
      <c r="J242" s="46">
        <v>35</v>
      </c>
      <c r="K242" s="46">
        <v>38</v>
      </c>
      <c r="L242" s="3" t="s">
        <v>442</v>
      </c>
      <c r="M242" s="3" t="s">
        <v>469</v>
      </c>
      <c r="N242" s="3" t="s">
        <v>469</v>
      </c>
    </row>
    <row r="243" spans="1:14" ht="15" hidden="1" customHeight="1">
      <c r="A243" s="2">
        <v>242</v>
      </c>
      <c r="B243" s="55" t="s">
        <v>333</v>
      </c>
      <c r="D243" s="17">
        <v>101232030094</v>
      </c>
      <c r="E243" s="24" t="s">
        <v>380</v>
      </c>
      <c r="F243" s="3" t="s">
        <v>386</v>
      </c>
      <c r="G243" s="3"/>
      <c r="H243" s="11" t="s">
        <v>8</v>
      </c>
      <c r="I243" s="46">
        <v>36</v>
      </c>
      <c r="J243" s="46">
        <v>38</v>
      </c>
      <c r="K243" s="46">
        <v>42</v>
      </c>
      <c r="L243" s="29" t="s">
        <v>439</v>
      </c>
      <c r="M243" s="3" t="s">
        <v>439</v>
      </c>
      <c r="N243" s="3" t="s">
        <v>439</v>
      </c>
    </row>
    <row r="244" spans="1:14" ht="15" hidden="1" customHeight="1">
      <c r="A244" s="2">
        <v>243</v>
      </c>
      <c r="B244" s="11" t="s">
        <v>334</v>
      </c>
      <c r="D244" s="17">
        <v>101232030095</v>
      </c>
      <c r="E244" s="24" t="s">
        <v>380</v>
      </c>
      <c r="F244" s="3" t="s">
        <v>386</v>
      </c>
      <c r="G244" s="3"/>
      <c r="H244" s="11" t="s">
        <v>8</v>
      </c>
      <c r="I244" s="23">
        <v>77</v>
      </c>
      <c r="J244" s="23">
        <v>51</v>
      </c>
      <c r="K244" s="23">
        <v>61</v>
      </c>
      <c r="L244" s="46" t="s">
        <v>431</v>
      </c>
      <c r="M244" s="46" t="s">
        <v>431</v>
      </c>
      <c r="N244" s="46" t="s">
        <v>431</v>
      </c>
    </row>
    <row r="245" spans="1:14" ht="15" hidden="1" customHeight="1">
      <c r="A245" s="2">
        <v>244</v>
      </c>
      <c r="B245" s="11" t="s">
        <v>335</v>
      </c>
      <c r="D245" s="17">
        <v>101232030096</v>
      </c>
      <c r="E245" s="24" t="s">
        <v>380</v>
      </c>
      <c r="F245" s="3" t="s">
        <v>386</v>
      </c>
      <c r="G245" s="3"/>
      <c r="H245" s="11" t="s">
        <v>8</v>
      </c>
      <c r="I245" s="42">
        <v>47</v>
      </c>
      <c r="J245" s="42">
        <v>47</v>
      </c>
      <c r="K245" s="42">
        <v>51</v>
      </c>
      <c r="L245" s="46" t="s">
        <v>492</v>
      </c>
      <c r="M245" s="46" t="s">
        <v>424</v>
      </c>
      <c r="N245" s="46" t="s">
        <v>420</v>
      </c>
    </row>
    <row r="246" spans="1:14" ht="15" hidden="1" customHeight="1">
      <c r="A246" s="2">
        <v>245</v>
      </c>
      <c r="B246" s="11" t="s">
        <v>336</v>
      </c>
      <c r="D246" s="17">
        <v>101232030097</v>
      </c>
      <c r="E246" s="24" t="s">
        <v>380</v>
      </c>
      <c r="F246" s="3" t="s">
        <v>386</v>
      </c>
      <c r="G246" s="3"/>
      <c r="H246" s="11" t="s">
        <v>8</v>
      </c>
      <c r="I246" s="11">
        <v>50</v>
      </c>
      <c r="J246" s="11">
        <v>57</v>
      </c>
      <c r="K246" s="11">
        <v>63</v>
      </c>
      <c r="L246" s="11" t="s">
        <v>414</v>
      </c>
      <c r="M246" s="11" t="s">
        <v>414</v>
      </c>
      <c r="N246" s="46" t="s">
        <v>414</v>
      </c>
    </row>
    <row r="247" spans="1:14" ht="15" hidden="1" customHeight="1">
      <c r="A247" s="2">
        <v>246</v>
      </c>
      <c r="B247" s="11" t="s">
        <v>337</v>
      </c>
      <c r="D247" s="17">
        <v>101232030098</v>
      </c>
      <c r="E247" s="24" t="s">
        <v>380</v>
      </c>
      <c r="F247" s="3" t="s">
        <v>386</v>
      </c>
      <c r="G247" s="3"/>
      <c r="H247" s="11" t="s">
        <v>8</v>
      </c>
      <c r="I247" s="11">
        <v>81</v>
      </c>
      <c r="J247" s="11">
        <v>78</v>
      </c>
      <c r="K247" s="11">
        <v>90</v>
      </c>
      <c r="L247" s="3" t="s">
        <v>462</v>
      </c>
      <c r="M247" s="3" t="s">
        <v>462</v>
      </c>
      <c r="N247" s="3" t="s">
        <v>462</v>
      </c>
    </row>
    <row r="248" spans="1:14" ht="15" hidden="1" customHeight="1">
      <c r="A248" s="2">
        <v>247</v>
      </c>
      <c r="B248" s="11" t="s">
        <v>338</v>
      </c>
      <c r="D248" s="17">
        <v>101232030129</v>
      </c>
      <c r="E248" s="24" t="s">
        <v>380</v>
      </c>
      <c r="F248" s="3" t="s">
        <v>386</v>
      </c>
      <c r="G248" s="3"/>
      <c r="H248" s="11" t="s">
        <v>8</v>
      </c>
      <c r="I248" s="11">
        <v>17</v>
      </c>
      <c r="J248" s="11">
        <v>17</v>
      </c>
      <c r="K248" s="11">
        <v>21</v>
      </c>
      <c r="L248" s="46" t="s">
        <v>461</v>
      </c>
      <c r="M248" s="46" t="s">
        <v>414</v>
      </c>
      <c r="N248" s="46" t="s">
        <v>414</v>
      </c>
    </row>
    <row r="249" spans="1:14" ht="15" hidden="1" customHeight="1">
      <c r="A249" s="2">
        <v>248</v>
      </c>
      <c r="B249" s="11" t="s">
        <v>339</v>
      </c>
      <c r="D249" s="17">
        <v>101232030130</v>
      </c>
      <c r="E249" s="24" t="s">
        <v>380</v>
      </c>
      <c r="F249" s="3" t="s">
        <v>386</v>
      </c>
      <c r="G249" s="3"/>
      <c r="H249" s="11" t="s">
        <v>8</v>
      </c>
      <c r="I249" s="11">
        <v>62</v>
      </c>
      <c r="J249" s="11">
        <v>65</v>
      </c>
      <c r="K249" s="11">
        <v>71</v>
      </c>
      <c r="L249" s="3" t="s">
        <v>461</v>
      </c>
      <c r="M249" s="3" t="s">
        <v>461</v>
      </c>
      <c r="N249" s="3" t="s">
        <v>461</v>
      </c>
    </row>
    <row r="250" spans="1:14" ht="15" hidden="1" customHeight="1">
      <c r="A250" s="2">
        <v>249</v>
      </c>
      <c r="B250" s="11" t="s">
        <v>340</v>
      </c>
      <c r="D250" s="17">
        <v>101232030136</v>
      </c>
      <c r="E250" s="24" t="s">
        <v>380</v>
      </c>
      <c r="F250" s="3" t="s">
        <v>386</v>
      </c>
      <c r="G250" s="3"/>
      <c r="H250" s="11" t="s">
        <v>8</v>
      </c>
      <c r="I250" s="67">
        <v>55</v>
      </c>
      <c r="J250" s="67">
        <v>44</v>
      </c>
      <c r="K250" s="67">
        <v>51</v>
      </c>
      <c r="L250" s="46" t="s">
        <v>431</v>
      </c>
      <c r="M250" s="46" t="s">
        <v>464</v>
      </c>
      <c r="N250" s="3" t="s">
        <v>518</v>
      </c>
    </row>
    <row r="251" spans="1:14" ht="15" customHeight="1">
      <c r="A251" s="2">
        <v>250</v>
      </c>
      <c r="B251" s="11" t="s">
        <v>341</v>
      </c>
      <c r="D251" s="17">
        <v>101232030138</v>
      </c>
      <c r="E251" s="24" t="s">
        <v>380</v>
      </c>
      <c r="F251" s="3" t="s">
        <v>386</v>
      </c>
      <c r="G251" s="3"/>
      <c r="H251" s="11" t="s">
        <v>8</v>
      </c>
      <c r="I251" s="46">
        <v>24</v>
      </c>
      <c r="J251" s="46">
        <v>35</v>
      </c>
      <c r="K251" s="46">
        <v>40</v>
      </c>
      <c r="L251" s="29" t="s">
        <v>431</v>
      </c>
      <c r="M251" s="42" t="s">
        <v>469</v>
      </c>
      <c r="N251" s="3" t="s">
        <v>469</v>
      </c>
    </row>
    <row r="252" spans="1:14" ht="15" hidden="1" customHeight="1">
      <c r="A252" s="2">
        <v>251</v>
      </c>
      <c r="B252" s="11" t="s">
        <v>342</v>
      </c>
      <c r="D252" s="17">
        <v>101232030139</v>
      </c>
      <c r="E252" s="24" t="s">
        <v>380</v>
      </c>
      <c r="F252" s="3" t="s">
        <v>386</v>
      </c>
      <c r="G252" s="3"/>
      <c r="I252" s="46">
        <v>81</v>
      </c>
      <c r="J252" s="46">
        <v>74</v>
      </c>
      <c r="K252" s="46">
        <v>83</v>
      </c>
      <c r="L252" s="3" t="s">
        <v>468</v>
      </c>
      <c r="M252" s="3" t="s">
        <v>468</v>
      </c>
      <c r="N252" s="3" t="s">
        <v>468</v>
      </c>
    </row>
    <row r="253" spans="1:14" ht="15" hidden="1" customHeight="1">
      <c r="A253" s="2">
        <v>252</v>
      </c>
      <c r="B253" s="11" t="s">
        <v>343</v>
      </c>
      <c r="D253" s="17">
        <v>101232030149</v>
      </c>
      <c r="E253" s="24" t="s">
        <v>380</v>
      </c>
      <c r="F253" s="3" t="s">
        <v>386</v>
      </c>
      <c r="G253" s="3"/>
      <c r="H253" s="11" t="s">
        <v>8</v>
      </c>
      <c r="I253" s="46">
        <v>14</v>
      </c>
      <c r="J253" s="46">
        <v>15</v>
      </c>
      <c r="K253" s="46">
        <v>17</v>
      </c>
      <c r="L253" s="3" t="s">
        <v>441</v>
      </c>
      <c r="M253" s="3" t="s">
        <v>441</v>
      </c>
      <c r="N253" s="3" t="s">
        <v>441</v>
      </c>
    </row>
    <row r="254" spans="1:14" hidden="1">
      <c r="A254" s="2">
        <v>253</v>
      </c>
      <c r="B254" s="55" t="s">
        <v>344</v>
      </c>
      <c r="D254" s="17">
        <v>101232030156</v>
      </c>
      <c r="E254" s="24" t="s">
        <v>380</v>
      </c>
      <c r="F254" s="3" t="s">
        <v>386</v>
      </c>
      <c r="G254" s="3"/>
      <c r="H254" s="11" t="s">
        <v>8</v>
      </c>
      <c r="I254" s="46">
        <v>33</v>
      </c>
      <c r="J254" s="46">
        <v>33</v>
      </c>
      <c r="K254" s="46">
        <v>38</v>
      </c>
      <c r="L254" s="3" t="s">
        <v>435</v>
      </c>
      <c r="M254" s="3" t="s">
        <v>465</v>
      </c>
      <c r="N254" s="54" t="s">
        <v>516</v>
      </c>
    </row>
    <row r="255" spans="1:14" ht="15" hidden="1" customHeight="1">
      <c r="A255" s="2">
        <v>254</v>
      </c>
      <c r="B255" s="55" t="s">
        <v>345</v>
      </c>
      <c r="D255" s="17">
        <v>101232030163</v>
      </c>
      <c r="E255" s="24" t="s">
        <v>380</v>
      </c>
      <c r="F255" s="3" t="s">
        <v>386</v>
      </c>
      <c r="G255" s="3"/>
      <c r="H255" s="11" t="s">
        <v>8</v>
      </c>
      <c r="I255" s="46">
        <v>51</v>
      </c>
      <c r="J255" s="46">
        <v>52</v>
      </c>
      <c r="K255" s="46">
        <v>58</v>
      </c>
      <c r="L255" s="3" t="s">
        <v>442</v>
      </c>
      <c r="M255" s="3" t="s">
        <v>469</v>
      </c>
      <c r="N255" s="3" t="s">
        <v>442</v>
      </c>
    </row>
    <row r="256" spans="1:14" ht="15" hidden="1" customHeight="1">
      <c r="A256" s="2">
        <v>255</v>
      </c>
      <c r="B256" s="11" t="s">
        <v>346</v>
      </c>
      <c r="D256" s="17">
        <v>101232030166</v>
      </c>
      <c r="E256" s="24" t="s">
        <v>380</v>
      </c>
      <c r="F256" s="3" t="s">
        <v>386</v>
      </c>
      <c r="G256" s="3"/>
      <c r="H256" s="11" t="s">
        <v>8</v>
      </c>
      <c r="I256" s="46">
        <v>81</v>
      </c>
      <c r="J256" s="46">
        <v>81</v>
      </c>
      <c r="K256" s="46">
        <v>96</v>
      </c>
      <c r="L256" s="3" t="s">
        <v>443</v>
      </c>
      <c r="M256" s="3" t="s">
        <v>443</v>
      </c>
      <c r="N256" s="3" t="s">
        <v>443</v>
      </c>
    </row>
    <row r="257" spans="1:14" ht="15" customHeight="1">
      <c r="A257" s="2">
        <v>256</v>
      </c>
      <c r="B257" s="11" t="s">
        <v>347</v>
      </c>
      <c r="D257" s="17">
        <v>101232030176</v>
      </c>
      <c r="E257" s="24" t="s">
        <v>380</v>
      </c>
      <c r="F257" s="3" t="s">
        <v>386</v>
      </c>
      <c r="G257" s="3"/>
      <c r="H257" s="11" t="s">
        <v>8</v>
      </c>
      <c r="I257" s="46">
        <v>25</v>
      </c>
      <c r="J257" s="46">
        <v>31</v>
      </c>
      <c r="K257" s="46">
        <v>36</v>
      </c>
      <c r="L257" s="3" t="s">
        <v>442</v>
      </c>
      <c r="M257" s="3" t="s">
        <v>469</v>
      </c>
      <c r="N257" s="3" t="s">
        <v>469</v>
      </c>
    </row>
    <row r="258" spans="1:14" ht="15" hidden="1" customHeight="1">
      <c r="A258" s="2">
        <v>257</v>
      </c>
      <c r="B258" s="55" t="s">
        <v>348</v>
      </c>
      <c r="D258" s="17">
        <v>101232030203</v>
      </c>
      <c r="E258" s="24" t="s">
        <v>380</v>
      </c>
      <c r="F258" s="3" t="s">
        <v>386</v>
      </c>
      <c r="G258" s="3"/>
      <c r="H258" s="11" t="s">
        <v>8</v>
      </c>
      <c r="I258" s="46">
        <v>42</v>
      </c>
      <c r="J258" s="46">
        <v>34</v>
      </c>
      <c r="K258" s="46">
        <v>40</v>
      </c>
      <c r="L258" s="11" t="s">
        <v>424</v>
      </c>
      <c r="M258" s="11" t="s">
        <v>442</v>
      </c>
      <c r="N258" s="46" t="s">
        <v>442</v>
      </c>
    </row>
    <row r="259" spans="1:14" ht="15" hidden="1" customHeight="1">
      <c r="A259" s="2">
        <v>258</v>
      </c>
      <c r="B259" s="55" t="s">
        <v>351</v>
      </c>
      <c r="D259" s="17">
        <v>101232030204</v>
      </c>
      <c r="E259" s="24" t="s">
        <v>380</v>
      </c>
      <c r="F259" s="3" t="s">
        <v>386</v>
      </c>
      <c r="G259" s="3"/>
      <c r="H259" s="11" t="s">
        <v>8</v>
      </c>
      <c r="I259" s="46">
        <v>45</v>
      </c>
      <c r="J259" s="46">
        <v>46</v>
      </c>
      <c r="K259" s="46">
        <v>52</v>
      </c>
      <c r="L259" s="42" t="s">
        <v>439</v>
      </c>
      <c r="M259" s="3" t="s">
        <v>439</v>
      </c>
      <c r="N259" s="3" t="s">
        <v>439</v>
      </c>
    </row>
    <row r="260" spans="1:14" ht="15" hidden="1" customHeight="1">
      <c r="A260" s="2">
        <v>259</v>
      </c>
      <c r="B260" s="11" t="s">
        <v>352</v>
      </c>
      <c r="C260" s="29">
        <v>1</v>
      </c>
      <c r="D260" s="17">
        <v>111132030001</v>
      </c>
      <c r="E260" s="24" t="s">
        <v>381</v>
      </c>
      <c r="F260" s="3" t="s">
        <v>386</v>
      </c>
      <c r="G260" s="3"/>
      <c r="H260" s="11" t="s">
        <v>8</v>
      </c>
      <c r="I260" s="23">
        <v>784</v>
      </c>
      <c r="J260" s="2">
        <v>17</v>
      </c>
      <c r="K260" s="23">
        <v>840</v>
      </c>
      <c r="L260" s="3" t="s">
        <v>435</v>
      </c>
      <c r="M260" s="3" t="s">
        <v>435</v>
      </c>
      <c r="N260" s="3" t="s">
        <v>465</v>
      </c>
    </row>
    <row r="261" spans="1:14" ht="15" hidden="1" customHeight="1">
      <c r="A261" s="2">
        <v>260</v>
      </c>
      <c r="B261" s="11" t="s">
        <v>353</v>
      </c>
      <c r="D261" s="17">
        <v>111232030136</v>
      </c>
      <c r="E261" s="24" t="s">
        <v>382</v>
      </c>
      <c r="F261" s="3" t="s">
        <v>386</v>
      </c>
      <c r="G261" s="3"/>
      <c r="H261" s="11" t="s">
        <v>8</v>
      </c>
      <c r="I261" s="11">
        <v>320</v>
      </c>
      <c r="J261" s="11">
        <v>314</v>
      </c>
      <c r="K261" s="11">
        <v>316</v>
      </c>
      <c r="L261" s="46" t="s">
        <v>414</v>
      </c>
      <c r="M261" s="46" t="s">
        <v>414</v>
      </c>
      <c r="N261" s="46" t="s">
        <v>414</v>
      </c>
    </row>
    <row r="262" spans="1:14" hidden="1">
      <c r="A262" s="2">
        <v>261</v>
      </c>
      <c r="B262" s="55" t="s">
        <v>354</v>
      </c>
      <c r="C262" s="29">
        <v>6</v>
      </c>
      <c r="D262" s="17">
        <v>111232030137</v>
      </c>
      <c r="E262" s="24" t="s">
        <v>382</v>
      </c>
      <c r="F262" s="3" t="s">
        <v>386</v>
      </c>
      <c r="G262" s="3"/>
      <c r="H262" s="11" t="s">
        <v>8</v>
      </c>
      <c r="I262" s="67">
        <v>213</v>
      </c>
      <c r="J262" s="67">
        <v>236</v>
      </c>
      <c r="K262" s="67">
        <v>250</v>
      </c>
      <c r="L262" s="29" t="s">
        <v>424</v>
      </c>
      <c r="M262" s="3" t="s">
        <v>465</v>
      </c>
      <c r="N262" s="3" t="s">
        <v>424</v>
      </c>
    </row>
    <row r="263" spans="1:14" ht="15" customHeight="1">
      <c r="A263" s="2">
        <v>262</v>
      </c>
      <c r="B263" s="11" t="s">
        <v>355</v>
      </c>
      <c r="D263" s="17">
        <v>111232030138</v>
      </c>
      <c r="E263" s="24" t="s">
        <v>382</v>
      </c>
      <c r="F263" s="3" t="s">
        <v>386</v>
      </c>
      <c r="G263" s="3"/>
      <c r="H263" s="11" t="s">
        <v>8</v>
      </c>
      <c r="I263" s="46">
        <v>362</v>
      </c>
      <c r="J263" s="46">
        <v>378</v>
      </c>
      <c r="K263" s="46">
        <v>395</v>
      </c>
      <c r="L263" s="29" t="s">
        <v>469</v>
      </c>
      <c r="M263" s="29" t="s">
        <v>469</v>
      </c>
      <c r="N263" s="46" t="s">
        <v>469</v>
      </c>
    </row>
    <row r="264" spans="1:14" ht="15" hidden="1" customHeight="1">
      <c r="A264" s="2">
        <v>263</v>
      </c>
      <c r="B264" s="11" t="s">
        <v>356</v>
      </c>
      <c r="D264" s="17">
        <v>111232030139</v>
      </c>
      <c r="E264" s="24" t="s">
        <v>382</v>
      </c>
      <c r="F264" s="3" t="s">
        <v>386</v>
      </c>
      <c r="G264" s="3"/>
      <c r="H264" s="11" t="s">
        <v>8</v>
      </c>
      <c r="I264" s="46">
        <v>152</v>
      </c>
      <c r="J264" s="46">
        <v>146</v>
      </c>
      <c r="K264" s="46">
        <v>157</v>
      </c>
      <c r="L264" s="3" t="s">
        <v>441</v>
      </c>
      <c r="M264" s="3" t="s">
        <v>441</v>
      </c>
      <c r="N264" s="3" t="s">
        <v>441</v>
      </c>
    </row>
    <row r="265" spans="1:14" ht="15" hidden="1" customHeight="1">
      <c r="A265" s="2">
        <v>264</v>
      </c>
      <c r="B265" s="11" t="s">
        <v>357</v>
      </c>
      <c r="D265" s="17">
        <v>111232030140</v>
      </c>
      <c r="E265" s="24" t="s">
        <v>382</v>
      </c>
      <c r="F265" s="3" t="s">
        <v>386</v>
      </c>
      <c r="G265" s="3"/>
      <c r="H265" s="11" t="s">
        <v>8</v>
      </c>
      <c r="I265" s="46">
        <v>175</v>
      </c>
      <c r="J265" s="46">
        <v>191</v>
      </c>
      <c r="K265" s="46">
        <v>202</v>
      </c>
      <c r="L265" s="11" t="s">
        <v>431</v>
      </c>
      <c r="M265" s="11" t="s">
        <v>431</v>
      </c>
      <c r="N265" s="46" t="s">
        <v>431</v>
      </c>
    </row>
    <row r="266" spans="1:14" ht="15" customHeight="1">
      <c r="A266" s="2">
        <v>265</v>
      </c>
      <c r="B266" s="11" t="s">
        <v>358</v>
      </c>
      <c r="D266" s="17">
        <v>111232030141</v>
      </c>
      <c r="E266" s="24" t="s">
        <v>382</v>
      </c>
      <c r="F266" s="3" t="s">
        <v>386</v>
      </c>
      <c r="G266" s="3"/>
      <c r="H266" s="11" t="s">
        <v>8</v>
      </c>
      <c r="I266" s="46">
        <v>186</v>
      </c>
      <c r="J266" s="46">
        <v>184</v>
      </c>
      <c r="K266" s="46">
        <v>195</v>
      </c>
      <c r="L266" s="3" t="s">
        <v>442</v>
      </c>
      <c r="M266" s="3" t="s">
        <v>469</v>
      </c>
      <c r="N266" s="3" t="s">
        <v>469</v>
      </c>
    </row>
    <row r="267" spans="1:14" ht="15" hidden="1" customHeight="1">
      <c r="A267" s="2">
        <v>266</v>
      </c>
      <c r="B267" s="11" t="s">
        <v>359</v>
      </c>
      <c r="D267" s="17">
        <v>111232030142</v>
      </c>
      <c r="E267" s="24" t="s">
        <v>382</v>
      </c>
      <c r="F267" s="3" t="s">
        <v>386</v>
      </c>
      <c r="G267" s="3"/>
      <c r="H267" s="11" t="s">
        <v>8</v>
      </c>
      <c r="I267" s="46">
        <v>100</v>
      </c>
      <c r="J267" s="46">
        <v>113</v>
      </c>
      <c r="K267" s="46">
        <v>123</v>
      </c>
      <c r="L267" s="11" t="s">
        <v>431</v>
      </c>
      <c r="M267" s="11" t="s">
        <v>431</v>
      </c>
      <c r="N267" s="46" t="s">
        <v>431</v>
      </c>
    </row>
    <row r="268" spans="1:14" ht="15" hidden="1" customHeight="1">
      <c r="A268" s="2">
        <v>267</v>
      </c>
      <c r="B268" s="11" t="s">
        <v>360</v>
      </c>
      <c r="D268" s="17">
        <v>111232030143</v>
      </c>
      <c r="E268" s="24" t="s">
        <v>382</v>
      </c>
      <c r="F268" s="3" t="s">
        <v>386</v>
      </c>
      <c r="G268" s="3"/>
      <c r="H268" s="11" t="s">
        <v>8</v>
      </c>
      <c r="I268" s="46">
        <v>483</v>
      </c>
      <c r="J268" s="46">
        <v>483</v>
      </c>
      <c r="K268" s="46">
        <v>516</v>
      </c>
      <c r="L268" s="29" t="s">
        <v>492</v>
      </c>
      <c r="M268" s="29" t="s">
        <v>424</v>
      </c>
      <c r="N268" s="46" t="s">
        <v>420</v>
      </c>
    </row>
    <row r="269" spans="1:14" ht="15" hidden="1" customHeight="1">
      <c r="A269" s="2">
        <v>268</v>
      </c>
      <c r="B269" s="11" t="s">
        <v>361</v>
      </c>
      <c r="D269" s="17">
        <v>111232030144</v>
      </c>
      <c r="E269" s="24" t="s">
        <v>382</v>
      </c>
      <c r="F269" s="3" t="s">
        <v>386</v>
      </c>
      <c r="G269" s="3"/>
      <c r="H269" s="11" t="s">
        <v>8</v>
      </c>
      <c r="I269" s="67">
        <v>202</v>
      </c>
      <c r="J269" s="67">
        <v>200</v>
      </c>
      <c r="K269" s="67">
        <v>211</v>
      </c>
      <c r="L269" s="11" t="s">
        <v>431</v>
      </c>
      <c r="M269" s="11" t="s">
        <v>464</v>
      </c>
      <c r="N269" s="3" t="s">
        <v>518</v>
      </c>
    </row>
    <row r="270" spans="1:14" hidden="1">
      <c r="A270" s="2">
        <v>269</v>
      </c>
      <c r="B270" s="55" t="s">
        <v>362</v>
      </c>
      <c r="C270" s="29">
        <v>2</v>
      </c>
      <c r="D270" s="17">
        <v>111232030145</v>
      </c>
      <c r="E270" s="24" t="s">
        <v>382</v>
      </c>
      <c r="F270" s="3" t="s">
        <v>386</v>
      </c>
      <c r="G270" s="3"/>
      <c r="H270" s="11" t="s">
        <v>8</v>
      </c>
      <c r="I270" s="46">
        <v>101</v>
      </c>
      <c r="J270" s="46">
        <v>100</v>
      </c>
      <c r="K270" s="46">
        <v>109</v>
      </c>
      <c r="L270" s="3" t="s">
        <v>435</v>
      </c>
      <c r="M270" s="3" t="s">
        <v>465</v>
      </c>
      <c r="N270" s="3" t="s">
        <v>424</v>
      </c>
    </row>
    <row r="271" spans="1:14" ht="15" hidden="1" customHeight="1">
      <c r="A271" s="2">
        <v>270</v>
      </c>
      <c r="B271" s="11" t="s">
        <v>363</v>
      </c>
      <c r="D271" s="17">
        <v>111232030146</v>
      </c>
      <c r="E271" s="24" t="s">
        <v>382</v>
      </c>
      <c r="F271" s="3" t="s">
        <v>386</v>
      </c>
      <c r="G271" s="3"/>
      <c r="H271" s="11" t="s">
        <v>8</v>
      </c>
      <c r="I271" s="46">
        <v>390</v>
      </c>
      <c r="J271" s="46">
        <v>387</v>
      </c>
      <c r="K271" s="46">
        <v>405</v>
      </c>
      <c r="L271" s="3" t="s">
        <v>462</v>
      </c>
      <c r="M271" s="3" t="s">
        <v>462</v>
      </c>
      <c r="N271" s="3" t="s">
        <v>462</v>
      </c>
    </row>
    <row r="272" spans="1:14" ht="15" hidden="1" customHeight="1">
      <c r="A272" s="2">
        <v>271</v>
      </c>
      <c r="B272" s="11" t="s">
        <v>364</v>
      </c>
      <c r="D272" s="17">
        <v>111232030227</v>
      </c>
      <c r="E272" s="24" t="s">
        <v>382</v>
      </c>
      <c r="F272" s="3" t="s">
        <v>386</v>
      </c>
      <c r="G272" s="3"/>
      <c r="H272" s="11" t="s">
        <v>8</v>
      </c>
      <c r="I272" s="11">
        <v>111</v>
      </c>
      <c r="J272" s="11">
        <v>124</v>
      </c>
      <c r="K272" s="11">
        <v>135</v>
      </c>
      <c r="L272" s="3" t="s">
        <v>441</v>
      </c>
      <c r="M272" s="3" t="s">
        <v>441</v>
      </c>
      <c r="N272" s="3" t="s">
        <v>441</v>
      </c>
    </row>
    <row r="273" spans="1:14" ht="15" hidden="1" customHeight="1">
      <c r="A273" s="2">
        <v>272</v>
      </c>
      <c r="B273" s="23" t="s">
        <v>365</v>
      </c>
      <c r="D273" s="17">
        <v>121232030048</v>
      </c>
      <c r="E273" s="24" t="s">
        <v>383</v>
      </c>
      <c r="F273" s="3" t="s">
        <v>386</v>
      </c>
      <c r="G273" s="3"/>
      <c r="H273" s="23" t="s">
        <v>8</v>
      </c>
      <c r="I273" s="46">
        <v>306</v>
      </c>
      <c r="J273" s="46">
        <v>270</v>
      </c>
      <c r="K273" s="46">
        <v>294</v>
      </c>
      <c r="L273" s="23" t="s">
        <v>431</v>
      </c>
      <c r="M273" s="23" t="s">
        <v>431</v>
      </c>
      <c r="N273" s="46" t="s">
        <v>431</v>
      </c>
    </row>
    <row r="274" spans="1:14" ht="15" hidden="1" customHeight="1">
      <c r="A274" s="2">
        <v>273</v>
      </c>
      <c r="B274" s="11" t="s">
        <v>366</v>
      </c>
      <c r="D274" s="17">
        <v>121232030050</v>
      </c>
      <c r="E274" s="24" t="s">
        <v>383</v>
      </c>
      <c r="F274" s="3" t="s">
        <v>386</v>
      </c>
      <c r="G274" s="3"/>
      <c r="H274" s="11" t="s">
        <v>8</v>
      </c>
      <c r="I274" s="42">
        <v>338</v>
      </c>
      <c r="J274" s="42">
        <v>338</v>
      </c>
      <c r="K274" s="42">
        <v>381</v>
      </c>
      <c r="L274" s="42" t="s">
        <v>492</v>
      </c>
      <c r="M274" s="42" t="s">
        <v>424</v>
      </c>
      <c r="N274" s="46" t="s">
        <v>420</v>
      </c>
    </row>
    <row r="275" spans="1:14" ht="15" hidden="1" customHeight="1">
      <c r="A275" s="2">
        <v>274</v>
      </c>
      <c r="B275" s="11" t="s">
        <v>367</v>
      </c>
      <c r="D275" s="17">
        <v>121232030051</v>
      </c>
      <c r="E275" s="24" t="s">
        <v>383</v>
      </c>
      <c r="F275" s="3" t="s">
        <v>386</v>
      </c>
      <c r="G275" s="3"/>
      <c r="H275" s="11" t="s">
        <v>8</v>
      </c>
      <c r="I275" s="11">
        <v>521</v>
      </c>
      <c r="J275" s="11">
        <v>444</v>
      </c>
      <c r="K275" s="11">
        <v>464</v>
      </c>
      <c r="L275" s="3" t="s">
        <v>462</v>
      </c>
      <c r="M275" s="3" t="s">
        <v>462</v>
      </c>
      <c r="N275" s="3" t="s">
        <v>462</v>
      </c>
    </row>
    <row r="276" spans="1:14" ht="15" hidden="1" customHeight="1">
      <c r="A276" s="2">
        <v>275</v>
      </c>
      <c r="B276" s="11" t="s">
        <v>368</v>
      </c>
      <c r="D276" s="17">
        <v>121232030052</v>
      </c>
      <c r="E276" s="24" t="s">
        <v>383</v>
      </c>
      <c r="F276" s="3" t="s">
        <v>386</v>
      </c>
      <c r="G276" s="3"/>
      <c r="H276" s="11" t="s">
        <v>8</v>
      </c>
      <c r="I276" s="11">
        <v>150</v>
      </c>
      <c r="J276" s="11">
        <v>136</v>
      </c>
      <c r="K276" s="11">
        <v>144</v>
      </c>
      <c r="L276" s="46" t="s">
        <v>461</v>
      </c>
      <c r="M276" s="46" t="s">
        <v>461</v>
      </c>
      <c r="N276" s="46" t="s">
        <v>461</v>
      </c>
    </row>
    <row r="277" spans="1:14" ht="15" hidden="1" customHeight="1">
      <c r="A277" s="2">
        <v>276</v>
      </c>
      <c r="B277" s="11" t="s">
        <v>369</v>
      </c>
      <c r="D277" s="17">
        <v>121232030053</v>
      </c>
      <c r="E277" s="24" t="s">
        <v>383</v>
      </c>
      <c r="F277" s="3" t="s">
        <v>386</v>
      </c>
      <c r="G277" s="3"/>
      <c r="H277" s="11" t="s">
        <v>8</v>
      </c>
      <c r="I277" s="46">
        <v>148</v>
      </c>
      <c r="J277" s="46">
        <v>130</v>
      </c>
      <c r="K277" s="46">
        <v>142</v>
      </c>
      <c r="L277" s="11" t="s">
        <v>431</v>
      </c>
      <c r="M277" s="11" t="s">
        <v>464</v>
      </c>
      <c r="N277" s="3" t="s">
        <v>518</v>
      </c>
    </row>
    <row r="278" spans="1:14" ht="15" hidden="1" customHeight="1">
      <c r="A278" s="2">
        <v>277</v>
      </c>
      <c r="B278" s="12" t="s">
        <v>370</v>
      </c>
      <c r="D278" s="17">
        <v>121232030093</v>
      </c>
      <c r="E278" s="24" t="s">
        <v>383</v>
      </c>
      <c r="F278" s="3" t="s">
        <v>386</v>
      </c>
      <c r="G278" s="3"/>
      <c r="H278" s="11" t="s">
        <v>8</v>
      </c>
      <c r="I278" s="46">
        <v>386</v>
      </c>
      <c r="J278" s="46">
        <v>390</v>
      </c>
      <c r="K278" s="12">
        <v>409</v>
      </c>
      <c r="L278" s="11" t="s">
        <v>431</v>
      </c>
      <c r="M278" s="11" t="s">
        <v>427</v>
      </c>
      <c r="N278" s="3" t="s">
        <v>435</v>
      </c>
    </row>
    <row r="279" spans="1:14" hidden="1">
      <c r="A279" s="2">
        <v>278</v>
      </c>
      <c r="B279" s="55" t="s">
        <v>371</v>
      </c>
      <c r="D279" s="17">
        <v>121232030113</v>
      </c>
      <c r="E279" s="24" t="s">
        <v>383</v>
      </c>
      <c r="F279" s="3" t="s">
        <v>386</v>
      </c>
      <c r="G279" s="3"/>
      <c r="H279" s="11" t="s">
        <v>8</v>
      </c>
      <c r="I279" s="46">
        <v>72</v>
      </c>
      <c r="J279" s="46">
        <v>93</v>
      </c>
      <c r="K279" s="46">
        <v>105</v>
      </c>
      <c r="L279" s="3" t="s">
        <v>435</v>
      </c>
      <c r="M279" s="3" t="s">
        <v>465</v>
      </c>
      <c r="N279" s="67" t="s">
        <v>516</v>
      </c>
    </row>
    <row r="280" spans="1:14" ht="15" hidden="1" customHeight="1">
      <c r="A280" s="2">
        <v>279</v>
      </c>
      <c r="B280" s="11" t="s">
        <v>372</v>
      </c>
      <c r="D280" s="17">
        <v>121232030115</v>
      </c>
      <c r="E280" s="24" t="s">
        <v>383</v>
      </c>
      <c r="F280" s="3" t="s">
        <v>386</v>
      </c>
      <c r="G280" s="3"/>
      <c r="H280" s="11" t="s">
        <v>8</v>
      </c>
      <c r="I280" s="46">
        <v>230</v>
      </c>
      <c r="J280" s="46">
        <v>210</v>
      </c>
      <c r="K280" s="46">
        <v>220</v>
      </c>
      <c r="L280" s="3" t="s">
        <v>443</v>
      </c>
      <c r="M280" s="3" t="s">
        <v>443</v>
      </c>
      <c r="N280" s="3" t="s">
        <v>443</v>
      </c>
    </row>
    <row r="281" spans="1:14" ht="15" hidden="1" customHeight="1">
      <c r="A281" s="2">
        <v>280</v>
      </c>
      <c r="B281" s="11" t="s">
        <v>373</v>
      </c>
      <c r="D281" s="17">
        <v>121232030128</v>
      </c>
      <c r="E281" s="24" t="s">
        <v>383</v>
      </c>
      <c r="F281" s="3" t="s">
        <v>386</v>
      </c>
      <c r="G281" s="3"/>
      <c r="H281" s="11" t="s">
        <v>8</v>
      </c>
      <c r="I281" s="46">
        <v>67</v>
      </c>
      <c r="J281" s="46">
        <v>54</v>
      </c>
      <c r="K281" s="46">
        <v>68</v>
      </c>
      <c r="L281" s="3" t="s">
        <v>440</v>
      </c>
      <c r="M281" s="3" t="s">
        <v>440</v>
      </c>
      <c r="N281" s="3" t="s">
        <v>440</v>
      </c>
    </row>
    <row r="282" spans="1:14" ht="15" hidden="1" customHeight="1">
      <c r="A282" s="2">
        <v>281</v>
      </c>
      <c r="B282" s="11" t="s">
        <v>374</v>
      </c>
      <c r="D282" s="17">
        <v>121232030150</v>
      </c>
      <c r="E282" s="24" t="s">
        <v>383</v>
      </c>
      <c r="F282" s="3" t="s">
        <v>386</v>
      </c>
      <c r="G282" s="3"/>
      <c r="H282" s="11" t="s">
        <v>8</v>
      </c>
      <c r="I282" s="46">
        <v>114</v>
      </c>
      <c r="J282" s="46">
        <v>117</v>
      </c>
      <c r="K282" s="46">
        <v>119</v>
      </c>
      <c r="L282" s="11" t="s">
        <v>414</v>
      </c>
      <c r="M282" s="11" t="s">
        <v>414</v>
      </c>
      <c r="N282" s="46" t="s">
        <v>414</v>
      </c>
    </row>
    <row r="283" spans="1:14" ht="15" hidden="1" customHeight="1">
      <c r="A283" s="2">
        <v>282</v>
      </c>
      <c r="B283" s="11" t="s">
        <v>375</v>
      </c>
      <c r="D283" s="17">
        <v>131232030018</v>
      </c>
      <c r="E283" s="24" t="s">
        <v>384</v>
      </c>
      <c r="F283" s="3" t="s">
        <v>386</v>
      </c>
      <c r="G283" s="3"/>
      <c r="H283" s="11" t="s">
        <v>8</v>
      </c>
      <c r="I283" s="46">
        <v>206</v>
      </c>
      <c r="J283" s="46">
        <v>189</v>
      </c>
      <c r="K283" s="46">
        <v>209</v>
      </c>
      <c r="L283" s="3" t="s">
        <v>462</v>
      </c>
      <c r="M283" s="3" t="s">
        <v>462</v>
      </c>
      <c r="N283" s="3" t="s">
        <v>462</v>
      </c>
    </row>
    <row r="284" spans="1:14" ht="15" hidden="1" customHeight="1">
      <c r="A284" s="2">
        <v>283</v>
      </c>
      <c r="B284" s="46" t="s">
        <v>376</v>
      </c>
      <c r="D284" s="17">
        <v>131232030032</v>
      </c>
      <c r="E284" s="24" t="s">
        <v>384</v>
      </c>
      <c r="F284" s="3" t="s">
        <v>386</v>
      </c>
      <c r="G284" s="3"/>
      <c r="H284" s="11" t="s">
        <v>8</v>
      </c>
      <c r="I284" s="46">
        <v>58</v>
      </c>
      <c r="J284" s="46">
        <v>41</v>
      </c>
      <c r="K284" s="46">
        <v>50</v>
      </c>
      <c r="L284" s="11" t="s">
        <v>415</v>
      </c>
      <c r="M284" s="11" t="s">
        <v>415</v>
      </c>
      <c r="N284" s="46" t="s">
        <v>415</v>
      </c>
    </row>
    <row r="285" spans="1:14" ht="15" hidden="1" customHeight="1">
      <c r="A285" s="2">
        <v>284</v>
      </c>
      <c r="B285" s="46" t="s">
        <v>377</v>
      </c>
      <c r="C285" s="46"/>
      <c r="D285" s="17">
        <v>131232030042</v>
      </c>
      <c r="E285" s="24" t="s">
        <v>384</v>
      </c>
      <c r="F285" s="3" t="s">
        <v>386</v>
      </c>
      <c r="G285" s="3"/>
      <c r="H285" s="11" t="s">
        <v>8</v>
      </c>
      <c r="I285" s="46">
        <v>118</v>
      </c>
      <c r="J285" s="46">
        <v>105</v>
      </c>
      <c r="K285" s="46">
        <v>119</v>
      </c>
      <c r="L285" s="3" t="s">
        <v>441</v>
      </c>
      <c r="M285" s="3" t="s">
        <v>441</v>
      </c>
      <c r="N285" s="3" t="s">
        <v>441</v>
      </c>
    </row>
    <row r="286" spans="1:14" ht="15" hidden="1" customHeight="1">
      <c r="A286" s="2">
        <v>285</v>
      </c>
      <c r="B286" s="46" t="s">
        <v>378</v>
      </c>
      <c r="D286" s="17">
        <v>131232030059</v>
      </c>
      <c r="E286" s="24" t="s">
        <v>384</v>
      </c>
      <c r="F286" s="3" t="s">
        <v>386</v>
      </c>
      <c r="G286" s="3"/>
      <c r="H286" s="11" t="s">
        <v>8</v>
      </c>
      <c r="I286" s="46">
        <v>150</v>
      </c>
      <c r="J286" s="46">
        <v>40</v>
      </c>
      <c r="K286" s="46">
        <v>78</v>
      </c>
      <c r="L286" s="29" t="s">
        <v>464</v>
      </c>
      <c r="M286" s="29" t="s">
        <v>464</v>
      </c>
      <c r="N286" s="3" t="s">
        <v>518</v>
      </c>
    </row>
    <row r="287" spans="1:14" ht="15" hidden="1" customHeight="1">
      <c r="A287" s="2">
        <v>286</v>
      </c>
      <c r="B287" s="46" t="s">
        <v>379</v>
      </c>
      <c r="D287" s="17">
        <v>131232030066</v>
      </c>
      <c r="E287" s="24" t="s">
        <v>384</v>
      </c>
      <c r="F287" s="3" t="s">
        <v>386</v>
      </c>
      <c r="G287" s="3"/>
      <c r="H287" s="11" t="s">
        <v>8</v>
      </c>
      <c r="I287" s="11">
        <v>73</v>
      </c>
      <c r="J287" s="11">
        <v>73</v>
      </c>
      <c r="K287" s="46">
        <v>73</v>
      </c>
      <c r="L287" s="11" t="s">
        <v>415</v>
      </c>
      <c r="M287" s="11" t="s">
        <v>415</v>
      </c>
      <c r="N287" s="46" t="s">
        <v>415</v>
      </c>
    </row>
    <row r="288" spans="1:14" ht="15" hidden="1" customHeight="1">
      <c r="A288" s="2">
        <v>287</v>
      </c>
      <c r="B288" s="46" t="s">
        <v>432</v>
      </c>
      <c r="D288" s="45"/>
      <c r="E288" s="45"/>
      <c r="F288" s="46"/>
      <c r="G288" s="46"/>
      <c r="I288" s="42"/>
      <c r="J288" s="42">
        <v>85</v>
      </c>
      <c r="K288" s="46">
        <v>97</v>
      </c>
      <c r="L288" s="3" t="s">
        <v>431</v>
      </c>
      <c r="M288" s="3" t="s">
        <v>435</v>
      </c>
      <c r="N288" s="3" t="s">
        <v>435</v>
      </c>
    </row>
    <row r="289" spans="1:14" ht="15" hidden="1" customHeight="1">
      <c r="A289" s="2">
        <v>288</v>
      </c>
      <c r="B289" s="56" t="s">
        <v>450</v>
      </c>
      <c r="C289" s="3">
        <v>0</v>
      </c>
      <c r="D289" s="41"/>
      <c r="E289" s="41"/>
      <c r="F289" s="42"/>
      <c r="G289" s="42"/>
      <c r="I289" s="29"/>
      <c r="J289" s="29">
        <v>17</v>
      </c>
      <c r="K289" s="46">
        <v>21</v>
      </c>
      <c r="L289" s="46" t="s">
        <v>439</v>
      </c>
      <c r="M289" s="3" t="s">
        <v>439</v>
      </c>
      <c r="N289" s="3" t="s">
        <v>439</v>
      </c>
    </row>
    <row r="290" spans="1:14" ht="15" hidden="1" customHeight="1">
      <c r="A290" s="2">
        <v>289</v>
      </c>
      <c r="B290" s="55" t="s">
        <v>444</v>
      </c>
      <c r="D290" s="45"/>
      <c r="E290" s="28"/>
      <c r="F290" s="46"/>
      <c r="G290" s="46"/>
      <c r="I290" s="46"/>
      <c r="J290" s="46">
        <v>59</v>
      </c>
      <c r="K290" s="46">
        <v>59</v>
      </c>
      <c r="L290" s="42" t="s">
        <v>439</v>
      </c>
      <c r="M290" s="3" t="s">
        <v>439</v>
      </c>
      <c r="N290" s="3" t="s">
        <v>439</v>
      </c>
    </row>
    <row r="291" spans="1:14" ht="15" hidden="1" customHeight="1">
      <c r="A291" s="2">
        <v>290</v>
      </c>
      <c r="B291" s="42" t="s">
        <v>445</v>
      </c>
      <c r="C291" s="42"/>
      <c r="D291" s="45"/>
      <c r="E291" s="22"/>
      <c r="F291" s="46"/>
      <c r="G291" s="46"/>
      <c r="I291" s="46"/>
      <c r="J291" s="46">
        <v>15</v>
      </c>
      <c r="K291" s="46">
        <v>15</v>
      </c>
      <c r="L291" s="3" t="s">
        <v>435</v>
      </c>
      <c r="M291" s="3" t="s">
        <v>435</v>
      </c>
      <c r="N291" s="3" t="s">
        <v>435</v>
      </c>
    </row>
    <row r="292" spans="1:14" ht="15" hidden="1" customHeight="1">
      <c r="A292" s="2">
        <v>291</v>
      </c>
      <c r="B292" s="32" t="s">
        <v>446</v>
      </c>
      <c r="C292" s="3"/>
      <c r="D292" s="45"/>
      <c r="F292" s="46"/>
      <c r="G292" s="46"/>
      <c r="I292" s="46"/>
      <c r="J292" s="46">
        <v>30</v>
      </c>
      <c r="K292" s="12">
        <v>35</v>
      </c>
      <c r="L292" s="3" t="s">
        <v>435</v>
      </c>
      <c r="M292" s="3" t="s">
        <v>427</v>
      </c>
      <c r="N292" s="3" t="s">
        <v>427</v>
      </c>
    </row>
    <row r="293" spans="1:14" ht="15" hidden="1" customHeight="1">
      <c r="A293" s="2">
        <v>292</v>
      </c>
      <c r="B293" s="3" t="s">
        <v>447</v>
      </c>
      <c r="C293" s="3"/>
      <c r="D293" s="45"/>
      <c r="F293" s="46"/>
      <c r="G293" s="46"/>
      <c r="I293" s="46"/>
      <c r="J293" s="46">
        <v>14</v>
      </c>
      <c r="K293" s="46">
        <v>17</v>
      </c>
      <c r="L293" s="3" t="s">
        <v>441</v>
      </c>
      <c r="M293" s="3" t="s">
        <v>441</v>
      </c>
      <c r="N293" s="3" t="s">
        <v>441</v>
      </c>
    </row>
    <row r="294" spans="1:14" ht="15" hidden="1" customHeight="1">
      <c r="A294" s="2">
        <v>293</v>
      </c>
      <c r="B294" s="56" t="s">
        <v>522</v>
      </c>
      <c r="C294" s="3"/>
      <c r="D294" s="45"/>
      <c r="E294" s="28"/>
      <c r="F294" s="46"/>
      <c r="G294" s="46"/>
      <c r="I294" s="46"/>
      <c r="J294" s="46">
        <v>35</v>
      </c>
      <c r="K294" s="46">
        <v>55</v>
      </c>
      <c r="L294" s="3" t="s">
        <v>440</v>
      </c>
      <c r="M294" s="3" t="s">
        <v>439</v>
      </c>
      <c r="N294" s="3" t="s">
        <v>439</v>
      </c>
    </row>
    <row r="295" spans="1:14" ht="15" hidden="1" customHeight="1">
      <c r="A295" s="2">
        <v>294</v>
      </c>
      <c r="B295" s="3" t="s">
        <v>448</v>
      </c>
      <c r="C295" s="3"/>
      <c r="D295" s="45"/>
      <c r="F295" s="46"/>
      <c r="G295" s="46"/>
      <c r="I295" s="46"/>
      <c r="J295" s="46">
        <v>20</v>
      </c>
      <c r="K295" s="46">
        <v>23</v>
      </c>
      <c r="L295" s="3" t="s">
        <v>440</v>
      </c>
      <c r="M295" s="3" t="s">
        <v>440</v>
      </c>
      <c r="N295" s="3" t="s">
        <v>440</v>
      </c>
    </row>
    <row r="296" spans="1:14" ht="15" hidden="1" customHeight="1">
      <c r="A296" s="2">
        <v>295</v>
      </c>
      <c r="B296" s="3" t="s">
        <v>449</v>
      </c>
      <c r="C296" s="3"/>
      <c r="D296" s="45"/>
      <c r="F296" s="46"/>
      <c r="G296" s="46"/>
      <c r="I296" s="46"/>
      <c r="J296" s="46">
        <v>35</v>
      </c>
      <c r="K296" s="46">
        <v>41</v>
      </c>
      <c r="L296" s="3" t="s">
        <v>440</v>
      </c>
      <c r="M296" s="3" t="s">
        <v>440</v>
      </c>
      <c r="N296" s="3" t="s">
        <v>440</v>
      </c>
    </row>
    <row r="297" spans="1:14" ht="15" hidden="1" customHeight="1">
      <c r="A297" s="2">
        <v>296</v>
      </c>
      <c r="B297" s="11" t="s">
        <v>451</v>
      </c>
      <c r="D297" s="45"/>
      <c r="F297" s="46"/>
      <c r="G297" s="46"/>
      <c r="I297" s="46"/>
      <c r="J297" s="46">
        <v>25</v>
      </c>
      <c r="K297" s="46">
        <v>27</v>
      </c>
      <c r="L297" s="3" t="s">
        <v>443</v>
      </c>
      <c r="M297" s="3" t="s">
        <v>443</v>
      </c>
      <c r="N297" s="3" t="s">
        <v>443</v>
      </c>
    </row>
    <row r="298" spans="1:14" ht="15" hidden="1" customHeight="1">
      <c r="A298" s="2">
        <v>297</v>
      </c>
      <c r="B298" s="3" t="s">
        <v>452</v>
      </c>
      <c r="C298" s="3"/>
      <c r="D298" s="45"/>
      <c r="F298" s="46"/>
      <c r="G298" s="46"/>
      <c r="I298" s="46"/>
      <c r="J298" s="46">
        <v>91</v>
      </c>
      <c r="K298" s="46">
        <v>125</v>
      </c>
      <c r="L298" s="3" t="s">
        <v>443</v>
      </c>
      <c r="M298" s="3" t="s">
        <v>443</v>
      </c>
      <c r="N298" s="3" t="s">
        <v>443</v>
      </c>
    </row>
    <row r="299" spans="1:14" ht="15" hidden="1" customHeight="1">
      <c r="A299" s="2">
        <v>298</v>
      </c>
      <c r="B299" s="3" t="s">
        <v>453</v>
      </c>
      <c r="C299" s="3"/>
      <c r="D299" s="45"/>
      <c r="F299" s="46"/>
      <c r="G299" s="46"/>
      <c r="I299" s="46"/>
      <c r="J299" s="46">
        <v>70</v>
      </c>
      <c r="K299" s="46">
        <v>78</v>
      </c>
      <c r="L299" s="3" t="s">
        <v>443</v>
      </c>
      <c r="M299" s="3" t="s">
        <v>443</v>
      </c>
      <c r="N299" s="3" t="s">
        <v>443</v>
      </c>
    </row>
    <row r="300" spans="1:14" ht="15" hidden="1" customHeight="1">
      <c r="A300" s="2">
        <v>299</v>
      </c>
      <c r="B300" s="11" t="s">
        <v>454</v>
      </c>
      <c r="D300" s="45"/>
      <c r="F300" s="46"/>
      <c r="G300" s="46"/>
      <c r="I300" s="46"/>
      <c r="J300" s="46">
        <v>25</v>
      </c>
      <c r="K300" s="46">
        <v>30</v>
      </c>
      <c r="L300" s="3" t="s">
        <v>443</v>
      </c>
      <c r="M300" s="3" t="s">
        <v>443</v>
      </c>
      <c r="N300" s="3" t="s">
        <v>443</v>
      </c>
    </row>
    <row r="301" spans="1:14" ht="15" hidden="1" customHeight="1">
      <c r="A301" s="2">
        <v>300</v>
      </c>
      <c r="B301" s="3" t="s">
        <v>455</v>
      </c>
      <c r="C301" s="3"/>
      <c r="D301" s="45"/>
      <c r="F301" s="46"/>
      <c r="G301" s="46"/>
      <c r="I301" s="46"/>
      <c r="J301" s="46">
        <v>27</v>
      </c>
      <c r="K301" s="46">
        <v>30</v>
      </c>
      <c r="L301" s="3" t="s">
        <v>443</v>
      </c>
      <c r="M301" s="3" t="s">
        <v>443</v>
      </c>
      <c r="N301" s="3" t="s">
        <v>443</v>
      </c>
    </row>
    <row r="302" spans="1:14" ht="15" hidden="1" customHeight="1">
      <c r="A302" s="2">
        <v>301</v>
      </c>
      <c r="B302" s="3" t="s">
        <v>456</v>
      </c>
      <c r="C302" s="3"/>
      <c r="D302" s="45"/>
      <c r="E302" s="45"/>
      <c r="F302" s="46"/>
      <c r="G302" s="46"/>
      <c r="J302" s="11">
        <v>101</v>
      </c>
      <c r="K302" s="11">
        <v>107</v>
      </c>
      <c r="L302" s="3" t="s">
        <v>443</v>
      </c>
      <c r="M302" s="3" t="s">
        <v>443</v>
      </c>
      <c r="N302" s="3" t="s">
        <v>443</v>
      </c>
    </row>
    <row r="303" spans="1:14" ht="15" hidden="1" customHeight="1">
      <c r="A303" s="2">
        <v>302</v>
      </c>
      <c r="B303" s="11" t="s">
        <v>457</v>
      </c>
      <c r="D303" s="45"/>
      <c r="E303" s="45"/>
      <c r="F303" s="46"/>
      <c r="G303" s="46"/>
      <c r="J303" s="11">
        <v>10</v>
      </c>
      <c r="K303" s="11">
        <v>15</v>
      </c>
      <c r="L303" s="3" t="s">
        <v>443</v>
      </c>
      <c r="M303" s="3" t="s">
        <v>443</v>
      </c>
      <c r="N303" s="3" t="s">
        <v>443</v>
      </c>
    </row>
    <row r="304" spans="1:14" ht="15" hidden="1" customHeight="1">
      <c r="A304" s="2">
        <v>303</v>
      </c>
      <c r="B304" s="11" t="s">
        <v>458</v>
      </c>
      <c r="D304" s="45"/>
      <c r="E304" s="45"/>
      <c r="F304" s="46"/>
      <c r="G304" s="46"/>
      <c r="J304" s="11">
        <v>77</v>
      </c>
      <c r="K304" s="11">
        <v>84</v>
      </c>
      <c r="L304" s="3" t="s">
        <v>415</v>
      </c>
      <c r="M304" s="3" t="s">
        <v>415</v>
      </c>
      <c r="N304" s="3" t="s">
        <v>415</v>
      </c>
    </row>
    <row r="305" spans="1:14" ht="15" hidden="1" customHeight="1">
      <c r="A305" s="2">
        <v>305</v>
      </c>
      <c r="B305" s="11" t="s">
        <v>459</v>
      </c>
      <c r="D305" s="45"/>
      <c r="E305" s="45"/>
      <c r="F305" s="46"/>
      <c r="G305" s="46"/>
      <c r="J305" s="11">
        <v>52</v>
      </c>
      <c r="K305" s="11">
        <v>56</v>
      </c>
      <c r="L305" s="3" t="s">
        <v>460</v>
      </c>
      <c r="M305" s="3" t="s">
        <v>460</v>
      </c>
      <c r="N305" s="3" t="s">
        <v>460</v>
      </c>
    </row>
    <row r="306" spans="1:14" ht="15" hidden="1" customHeight="1">
      <c r="A306" s="2">
        <v>306</v>
      </c>
      <c r="B306" s="11" t="s">
        <v>463</v>
      </c>
      <c r="D306" s="45"/>
      <c r="E306" s="45"/>
      <c r="F306" s="46"/>
      <c r="G306" s="46"/>
      <c r="J306" s="11">
        <v>22</v>
      </c>
      <c r="K306" s="11">
        <v>22</v>
      </c>
      <c r="L306" s="3" t="s">
        <v>460</v>
      </c>
      <c r="M306" s="3" t="s">
        <v>460</v>
      </c>
      <c r="N306" s="3" t="s">
        <v>460</v>
      </c>
    </row>
    <row r="307" spans="1:14" ht="15" hidden="1" customHeight="1">
      <c r="A307" s="2">
        <v>307</v>
      </c>
      <c r="B307" s="11" t="s">
        <v>463</v>
      </c>
      <c r="J307" s="11">
        <v>23</v>
      </c>
      <c r="K307" s="11">
        <v>28</v>
      </c>
      <c r="L307" s="3" t="s">
        <v>460</v>
      </c>
      <c r="M307" s="3" t="s">
        <v>460</v>
      </c>
      <c r="N307" s="3" t="s">
        <v>460</v>
      </c>
    </row>
    <row r="308" spans="1:14" ht="15" hidden="1" customHeight="1">
      <c r="A308" s="2">
        <v>308</v>
      </c>
      <c r="B308" s="11" t="s">
        <v>466</v>
      </c>
      <c r="D308" s="45"/>
      <c r="F308" s="46"/>
      <c r="G308" s="46"/>
      <c r="I308" s="46"/>
      <c r="J308" s="46">
        <v>44</v>
      </c>
      <c r="K308" s="46">
        <v>49</v>
      </c>
      <c r="L308" s="3" t="s">
        <v>424</v>
      </c>
      <c r="M308" s="3" t="s">
        <v>424</v>
      </c>
      <c r="N308" s="3" t="s">
        <v>424</v>
      </c>
    </row>
    <row r="309" spans="1:14" ht="15" hidden="1" customHeight="1">
      <c r="A309" s="2">
        <v>309</v>
      </c>
      <c r="B309" s="11" t="s">
        <v>467</v>
      </c>
      <c r="D309" s="45"/>
      <c r="E309" s="28"/>
      <c r="F309" s="46"/>
      <c r="G309" s="46"/>
      <c r="I309" s="46"/>
      <c r="J309" s="46">
        <v>61</v>
      </c>
      <c r="K309" s="46">
        <v>65</v>
      </c>
      <c r="L309" s="3" t="s">
        <v>424</v>
      </c>
      <c r="M309" s="3" t="s">
        <v>424</v>
      </c>
      <c r="N309" s="3" t="s">
        <v>424</v>
      </c>
    </row>
    <row r="310" spans="1:14" ht="15" hidden="1" customHeight="1">
      <c r="A310" s="2">
        <v>310</v>
      </c>
      <c r="B310" s="11" t="s">
        <v>85</v>
      </c>
      <c r="D310" s="45"/>
      <c r="F310" s="46"/>
      <c r="G310" s="46"/>
      <c r="I310" s="46"/>
      <c r="J310" s="46">
        <v>38</v>
      </c>
      <c r="K310" s="46">
        <v>42</v>
      </c>
      <c r="L310" s="3" t="s">
        <v>461</v>
      </c>
      <c r="M310" s="3" t="s">
        <v>461</v>
      </c>
      <c r="N310" s="3" t="s">
        <v>461</v>
      </c>
    </row>
    <row r="311" spans="1:14" ht="15" hidden="1" customHeight="1">
      <c r="A311" s="2">
        <v>311</v>
      </c>
      <c r="B311" s="46" t="s">
        <v>470</v>
      </c>
      <c r="C311" s="46"/>
      <c r="D311" s="45"/>
      <c r="E311" s="45"/>
      <c r="F311" s="46"/>
      <c r="G311" s="46"/>
      <c r="H311" s="46"/>
      <c r="I311" s="46"/>
      <c r="J311" s="46">
        <v>115</v>
      </c>
      <c r="K311" s="46">
        <v>120</v>
      </c>
      <c r="L311" s="3" t="s">
        <v>461</v>
      </c>
      <c r="M311" s="3" t="s">
        <v>461</v>
      </c>
      <c r="N311" s="3" t="s">
        <v>461</v>
      </c>
    </row>
    <row r="312" spans="1:14" ht="15" hidden="1" customHeight="1">
      <c r="A312" s="2">
        <v>312</v>
      </c>
      <c r="B312" s="11" t="s">
        <v>471</v>
      </c>
      <c r="D312" s="45"/>
      <c r="F312" s="46"/>
      <c r="G312" s="46"/>
      <c r="I312" s="46"/>
      <c r="J312" s="46">
        <v>22</v>
      </c>
      <c r="K312" s="46">
        <v>22</v>
      </c>
      <c r="L312" s="3" t="s">
        <v>461</v>
      </c>
      <c r="M312" s="3" t="s">
        <v>461</v>
      </c>
      <c r="N312" s="3" t="s">
        <v>461</v>
      </c>
    </row>
    <row r="313" spans="1:14" ht="15" hidden="1" customHeight="1">
      <c r="A313" s="2">
        <v>313</v>
      </c>
      <c r="B313" s="11" t="s">
        <v>472</v>
      </c>
      <c r="D313" s="45"/>
      <c r="F313" s="46"/>
      <c r="G313" s="46"/>
      <c r="I313" s="46"/>
      <c r="J313" s="46">
        <v>32</v>
      </c>
      <c r="K313" s="46">
        <v>34</v>
      </c>
      <c r="L313" s="3" t="s">
        <v>461</v>
      </c>
      <c r="M313" s="3" t="s">
        <v>461</v>
      </c>
      <c r="N313" s="3" t="s">
        <v>461</v>
      </c>
    </row>
    <row r="314" spans="1:14" ht="15" hidden="1" customHeight="1">
      <c r="A314" s="2">
        <v>314</v>
      </c>
      <c r="B314" s="11" t="s">
        <v>473</v>
      </c>
      <c r="D314" s="41"/>
      <c r="E314" s="28"/>
      <c r="F314" s="46"/>
      <c r="G314" s="46"/>
      <c r="I314" s="46"/>
      <c r="J314" s="46">
        <v>29</v>
      </c>
      <c r="K314" s="46">
        <v>31</v>
      </c>
      <c r="L314" s="3" t="s">
        <v>469</v>
      </c>
      <c r="M314" s="3" t="s">
        <v>440</v>
      </c>
      <c r="N314" s="3" t="s">
        <v>440</v>
      </c>
    </row>
    <row r="315" spans="1:14" ht="15" hidden="1" customHeight="1">
      <c r="A315" s="2">
        <v>315</v>
      </c>
      <c r="B315" s="55" t="s">
        <v>474</v>
      </c>
      <c r="C315" s="55"/>
      <c r="D315" s="58"/>
      <c r="E315" s="58"/>
      <c r="F315" s="55"/>
      <c r="G315" s="55"/>
      <c r="H315" s="55"/>
      <c r="I315" s="55"/>
      <c r="J315" s="55">
        <v>249</v>
      </c>
      <c r="K315" s="55">
        <v>265</v>
      </c>
      <c r="L315" s="56" t="s">
        <v>469</v>
      </c>
      <c r="M315" s="56" t="s">
        <v>424</v>
      </c>
      <c r="N315" s="56" t="s">
        <v>516</v>
      </c>
    </row>
    <row r="316" spans="1:14" ht="15" hidden="1" customHeight="1">
      <c r="A316" s="2">
        <v>316</v>
      </c>
      <c r="B316" s="11" t="s">
        <v>475</v>
      </c>
      <c r="F316" s="46"/>
      <c r="G316" s="46"/>
      <c r="I316" s="46"/>
      <c r="J316" s="46">
        <v>53</v>
      </c>
      <c r="K316" s="46">
        <v>59</v>
      </c>
      <c r="L316" s="3" t="s">
        <v>417</v>
      </c>
      <c r="M316" s="3" t="s">
        <v>417</v>
      </c>
      <c r="N316" s="3" t="s">
        <v>417</v>
      </c>
    </row>
    <row r="317" spans="1:14" ht="15" hidden="1" customHeight="1">
      <c r="A317" s="2">
        <v>317</v>
      </c>
      <c r="B317" s="11" t="s">
        <v>476</v>
      </c>
      <c r="D317" s="66"/>
      <c r="F317" s="67"/>
      <c r="G317" s="67"/>
      <c r="I317" s="67"/>
      <c r="J317" s="67">
        <v>19</v>
      </c>
      <c r="K317" s="67">
        <v>21</v>
      </c>
      <c r="L317" s="3" t="s">
        <v>418</v>
      </c>
      <c r="M317" s="3" t="s">
        <v>418</v>
      </c>
      <c r="N317" s="3" t="s">
        <v>418</v>
      </c>
    </row>
    <row r="318" spans="1:14" ht="15" hidden="1" customHeight="1">
      <c r="A318" s="2">
        <v>318</v>
      </c>
      <c r="B318" s="11" t="s">
        <v>477</v>
      </c>
      <c r="F318" s="46"/>
      <c r="G318" s="46"/>
      <c r="I318" s="46"/>
      <c r="J318" s="46">
        <v>38</v>
      </c>
      <c r="K318" s="46">
        <v>40</v>
      </c>
      <c r="L318" s="3" t="s">
        <v>418</v>
      </c>
      <c r="M318" s="3" t="s">
        <v>418</v>
      </c>
      <c r="N318" s="3" t="s">
        <v>418</v>
      </c>
    </row>
    <row r="319" spans="1:14" ht="15" hidden="1" customHeight="1">
      <c r="A319" s="2">
        <v>319</v>
      </c>
      <c r="B319" s="11" t="s">
        <v>478</v>
      </c>
      <c r="F319" s="46"/>
      <c r="G319" s="46"/>
      <c r="I319" s="46"/>
      <c r="J319" s="46">
        <v>25</v>
      </c>
      <c r="K319" s="46">
        <v>27</v>
      </c>
      <c r="L319" s="3" t="s">
        <v>418</v>
      </c>
      <c r="M319" s="3" t="s">
        <v>487</v>
      </c>
      <c r="N319" s="3" t="s">
        <v>487</v>
      </c>
    </row>
    <row r="320" spans="1:14" ht="15" hidden="1" customHeight="1">
      <c r="A320" s="2">
        <v>320</v>
      </c>
      <c r="B320" s="11" t="s">
        <v>479</v>
      </c>
      <c r="F320" s="46"/>
      <c r="G320" s="46"/>
      <c r="I320" s="46"/>
      <c r="J320" s="46">
        <v>26</v>
      </c>
      <c r="K320" s="46">
        <v>28</v>
      </c>
      <c r="L320" s="3" t="s">
        <v>418</v>
      </c>
      <c r="M320" s="3" t="s">
        <v>487</v>
      </c>
      <c r="N320" s="3" t="s">
        <v>487</v>
      </c>
    </row>
    <row r="321" spans="1:14" ht="15" hidden="1" customHeight="1">
      <c r="A321" s="2">
        <v>321</v>
      </c>
      <c r="B321" s="11" t="s">
        <v>480</v>
      </c>
      <c r="F321" s="46"/>
      <c r="G321" s="46"/>
      <c r="I321" s="46"/>
      <c r="J321" s="46">
        <v>34</v>
      </c>
      <c r="K321" s="46">
        <v>36</v>
      </c>
      <c r="L321" s="3" t="s">
        <v>418</v>
      </c>
      <c r="M321" s="3" t="s">
        <v>487</v>
      </c>
      <c r="N321" s="3" t="s">
        <v>487</v>
      </c>
    </row>
    <row r="322" spans="1:14" ht="15" hidden="1" customHeight="1">
      <c r="A322" s="2">
        <v>322</v>
      </c>
      <c r="B322" s="11" t="s">
        <v>481</v>
      </c>
      <c r="F322" s="46"/>
      <c r="G322" s="46"/>
      <c r="I322" s="46"/>
      <c r="J322" s="46">
        <v>16</v>
      </c>
      <c r="K322" s="46">
        <v>17</v>
      </c>
      <c r="L322" s="3" t="s">
        <v>418</v>
      </c>
      <c r="M322" s="3" t="s">
        <v>431</v>
      </c>
      <c r="N322" s="3" t="s">
        <v>431</v>
      </c>
    </row>
    <row r="323" spans="1:14" ht="15" hidden="1" customHeight="1">
      <c r="A323" s="2">
        <v>323</v>
      </c>
      <c r="B323" s="11" t="s">
        <v>482</v>
      </c>
      <c r="F323" s="46"/>
      <c r="G323" s="46"/>
      <c r="I323" s="46"/>
      <c r="J323" s="46">
        <v>29</v>
      </c>
      <c r="K323" s="46">
        <v>34</v>
      </c>
      <c r="L323" s="3" t="s">
        <v>414</v>
      </c>
      <c r="M323" s="3" t="s">
        <v>487</v>
      </c>
      <c r="N323" s="3" t="s">
        <v>487</v>
      </c>
    </row>
    <row r="324" spans="1:14" ht="15" hidden="1" customHeight="1">
      <c r="A324" s="2">
        <v>324</v>
      </c>
      <c r="B324" s="11" t="s">
        <v>483</v>
      </c>
      <c r="F324" s="46"/>
      <c r="G324" s="46"/>
      <c r="I324" s="46"/>
      <c r="J324" s="46">
        <v>52</v>
      </c>
      <c r="K324" s="46">
        <v>63</v>
      </c>
      <c r="L324" s="3" t="s">
        <v>414</v>
      </c>
      <c r="M324" s="3" t="s">
        <v>487</v>
      </c>
      <c r="N324" s="3" t="s">
        <v>487</v>
      </c>
    </row>
    <row r="325" spans="1:14" ht="15" hidden="1" customHeight="1">
      <c r="A325" s="2">
        <v>325</v>
      </c>
      <c r="B325" s="11" t="s">
        <v>484</v>
      </c>
      <c r="F325" s="46"/>
      <c r="G325" s="46"/>
      <c r="I325" s="46"/>
      <c r="J325" s="46">
        <v>16</v>
      </c>
      <c r="K325" s="46">
        <v>19</v>
      </c>
      <c r="L325" s="3" t="s">
        <v>414</v>
      </c>
      <c r="M325" s="3" t="s">
        <v>487</v>
      </c>
      <c r="N325" s="3" t="s">
        <v>487</v>
      </c>
    </row>
    <row r="326" spans="1:14" ht="15" hidden="1" customHeight="1">
      <c r="A326" s="2">
        <v>326</v>
      </c>
      <c r="B326" s="11" t="s">
        <v>485</v>
      </c>
      <c r="F326" s="46"/>
      <c r="G326" s="46"/>
      <c r="I326" s="46"/>
      <c r="J326" s="46">
        <v>21</v>
      </c>
      <c r="K326" s="46">
        <v>25</v>
      </c>
      <c r="L326" s="3" t="s">
        <v>414</v>
      </c>
      <c r="M326" s="3" t="s">
        <v>414</v>
      </c>
      <c r="N326" s="3" t="s">
        <v>414</v>
      </c>
    </row>
    <row r="327" spans="1:14" ht="15" hidden="1" customHeight="1">
      <c r="A327" s="2">
        <v>327</v>
      </c>
      <c r="B327" s="11" t="s">
        <v>486</v>
      </c>
      <c r="D327" s="66"/>
      <c r="E327" s="66"/>
      <c r="F327" s="67"/>
      <c r="G327" s="67"/>
      <c r="I327" s="46"/>
      <c r="J327" s="46">
        <v>39</v>
      </c>
      <c r="K327" s="46">
        <v>39</v>
      </c>
      <c r="L327" s="3" t="s">
        <v>464</v>
      </c>
      <c r="M327" s="3" t="s">
        <v>464</v>
      </c>
      <c r="N327" s="3" t="s">
        <v>464</v>
      </c>
    </row>
    <row r="328" spans="1:14" ht="18.75" hidden="1" customHeight="1">
      <c r="A328" s="2">
        <v>328</v>
      </c>
      <c r="B328" s="47" t="s">
        <v>40</v>
      </c>
      <c r="J328" s="48">
        <v>37</v>
      </c>
      <c r="K328" s="48">
        <v>37</v>
      </c>
      <c r="M328" s="3" t="s">
        <v>464</v>
      </c>
      <c r="N328" s="3" t="s">
        <v>518</v>
      </c>
    </row>
    <row r="329" spans="1:14" hidden="1">
      <c r="A329" s="11">
        <v>329</v>
      </c>
      <c r="B329" s="55" t="s">
        <v>523</v>
      </c>
      <c r="K329" s="11">
        <v>22</v>
      </c>
      <c r="M329" s="11" t="s">
        <v>465</v>
      </c>
      <c r="N329" s="46" t="s">
        <v>465</v>
      </c>
    </row>
    <row r="330" spans="1:14" hidden="1">
      <c r="A330" s="11">
        <v>330</v>
      </c>
      <c r="B330" s="11" t="s">
        <v>524</v>
      </c>
      <c r="J330" s="11">
        <v>65</v>
      </c>
      <c r="K330" s="11">
        <v>79</v>
      </c>
      <c r="N330" s="46" t="s">
        <v>465</v>
      </c>
    </row>
  </sheetData>
  <autoFilter ref="A1:N330">
    <filterColumn colId="13">
      <filters>
        <filter val="SINDANGLAKA 4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E12" sqref="E12"/>
    </sheetView>
  </sheetViews>
  <sheetFormatPr defaultColWidth="9.28515625" defaultRowHeight="15"/>
  <cols>
    <col min="1" max="1" width="4.140625" bestFit="1" customWidth="1"/>
    <col min="2" max="2" width="19.5703125" bestFit="1" customWidth="1"/>
    <col min="3" max="3" width="11.28515625" bestFit="1" customWidth="1"/>
    <col min="4" max="4" width="15.42578125" bestFit="1" customWidth="1"/>
    <col min="5" max="5" width="15.140625" bestFit="1" customWidth="1"/>
    <col min="6" max="6" width="9" bestFit="1" customWidth="1"/>
  </cols>
  <sheetData>
    <row r="1" spans="1:6" ht="15.75">
      <c r="A1" s="71" t="s">
        <v>525</v>
      </c>
      <c r="B1" s="71" t="s">
        <v>385</v>
      </c>
      <c r="C1" s="71" t="s">
        <v>526</v>
      </c>
      <c r="D1" s="71"/>
      <c r="E1" s="71"/>
      <c r="F1" s="71" t="s">
        <v>527</v>
      </c>
    </row>
    <row r="2" spans="1:6" ht="15.75">
      <c r="A2" s="71"/>
      <c r="B2" s="71"/>
      <c r="C2" s="72" t="s">
        <v>528</v>
      </c>
      <c r="D2" s="72" t="s">
        <v>529</v>
      </c>
      <c r="E2" s="72" t="s">
        <v>530</v>
      </c>
      <c r="F2" s="71"/>
    </row>
    <row r="3" spans="1:6" ht="15.75">
      <c r="A3" s="73">
        <v>1</v>
      </c>
      <c r="B3" s="73" t="s">
        <v>420</v>
      </c>
      <c r="C3" s="74">
        <v>71</v>
      </c>
      <c r="D3" s="74">
        <v>154</v>
      </c>
      <c r="E3" s="74">
        <v>904</v>
      </c>
      <c r="F3" s="75">
        <f>SUM(C3:E3)</f>
        <v>1129</v>
      </c>
    </row>
    <row r="4" spans="1:6" ht="15.75">
      <c r="A4" s="73">
        <v>2</v>
      </c>
      <c r="B4" s="73" t="s">
        <v>320</v>
      </c>
      <c r="C4" s="74">
        <v>129</v>
      </c>
      <c r="D4" s="74">
        <v>298</v>
      </c>
      <c r="E4" s="74">
        <v>1238</v>
      </c>
      <c r="F4" s="75">
        <f t="shared" ref="F4:F18" si="0">SUM(C4:E4)</f>
        <v>1665</v>
      </c>
    </row>
    <row r="5" spans="1:6" ht="15.75">
      <c r="A5" s="73">
        <v>3</v>
      </c>
      <c r="B5" s="73" t="s">
        <v>422</v>
      </c>
      <c r="C5" s="74">
        <v>50</v>
      </c>
      <c r="D5" s="74">
        <v>229</v>
      </c>
      <c r="E5" s="74">
        <v>503</v>
      </c>
      <c r="F5" s="75">
        <f t="shared" si="0"/>
        <v>782</v>
      </c>
    </row>
    <row r="6" spans="1:6" ht="15.75">
      <c r="A6" s="73">
        <v>4</v>
      </c>
      <c r="B6" s="73" t="s">
        <v>415</v>
      </c>
      <c r="C6" s="74">
        <v>79</v>
      </c>
      <c r="D6" s="74">
        <v>229</v>
      </c>
      <c r="E6" s="74">
        <v>688</v>
      </c>
      <c r="F6" s="75">
        <f t="shared" si="0"/>
        <v>996</v>
      </c>
    </row>
    <row r="7" spans="1:6" ht="15.75">
      <c r="A7" s="73">
        <v>5</v>
      </c>
      <c r="B7" s="73" t="s">
        <v>421</v>
      </c>
      <c r="C7" s="74">
        <v>96</v>
      </c>
      <c r="D7" s="74">
        <v>118</v>
      </c>
      <c r="E7" s="74">
        <v>785</v>
      </c>
      <c r="F7" s="75">
        <f t="shared" si="0"/>
        <v>999</v>
      </c>
    </row>
    <row r="8" spans="1:6" ht="15.75">
      <c r="A8" s="73">
        <v>6</v>
      </c>
      <c r="B8" s="73" t="s">
        <v>418</v>
      </c>
      <c r="C8" s="74">
        <v>60</v>
      </c>
      <c r="D8" s="74">
        <v>101</v>
      </c>
      <c r="E8" s="74">
        <v>455</v>
      </c>
      <c r="F8" s="75">
        <f t="shared" si="0"/>
        <v>616</v>
      </c>
    </row>
    <row r="9" spans="1:6" ht="15.75">
      <c r="A9" s="73">
        <v>7</v>
      </c>
      <c r="B9" s="73" t="s">
        <v>423</v>
      </c>
      <c r="C9" s="74">
        <v>50</v>
      </c>
      <c r="D9" s="74">
        <v>96</v>
      </c>
      <c r="E9" s="74">
        <v>492</v>
      </c>
      <c r="F9" s="75">
        <f t="shared" si="0"/>
        <v>638</v>
      </c>
    </row>
    <row r="10" spans="1:6" ht="15.75">
      <c r="A10" s="73">
        <v>8</v>
      </c>
      <c r="B10" s="73" t="s">
        <v>427</v>
      </c>
      <c r="C10" s="74">
        <v>68</v>
      </c>
      <c r="D10" s="74">
        <v>216</v>
      </c>
      <c r="E10" s="74">
        <v>582</v>
      </c>
      <c r="F10" s="75">
        <f t="shared" si="0"/>
        <v>866</v>
      </c>
    </row>
    <row r="11" spans="1:6" ht="15.75">
      <c r="A11" s="73">
        <v>9</v>
      </c>
      <c r="B11" s="73" t="s">
        <v>416</v>
      </c>
      <c r="C11" s="74">
        <v>79</v>
      </c>
      <c r="D11" s="74">
        <v>266</v>
      </c>
      <c r="E11" s="74">
        <v>853</v>
      </c>
      <c r="F11" s="75">
        <f t="shared" si="0"/>
        <v>1198</v>
      </c>
    </row>
    <row r="12" spans="1:6" ht="15.75">
      <c r="A12" s="73">
        <v>10</v>
      </c>
      <c r="B12" s="73" t="s">
        <v>349</v>
      </c>
      <c r="C12" s="74">
        <v>110</v>
      </c>
      <c r="D12" s="74">
        <v>157</v>
      </c>
      <c r="E12" s="74">
        <v>936</v>
      </c>
      <c r="F12" s="75">
        <f t="shared" si="0"/>
        <v>1203</v>
      </c>
    </row>
    <row r="13" spans="1:6" ht="15.75">
      <c r="A13" s="73">
        <v>11</v>
      </c>
      <c r="B13" s="73" t="s">
        <v>424</v>
      </c>
      <c r="C13" s="74">
        <v>73</v>
      </c>
      <c r="D13" s="74">
        <v>192</v>
      </c>
      <c r="E13" s="74">
        <v>850</v>
      </c>
      <c r="F13" s="75">
        <f t="shared" si="0"/>
        <v>1115</v>
      </c>
    </row>
    <row r="14" spans="1:6" ht="15.75">
      <c r="A14" s="73">
        <v>12</v>
      </c>
      <c r="B14" s="73" t="s">
        <v>414</v>
      </c>
      <c r="C14" s="74">
        <v>67</v>
      </c>
      <c r="D14" s="74">
        <v>149</v>
      </c>
      <c r="E14" s="74">
        <v>604</v>
      </c>
      <c r="F14" s="75">
        <f t="shared" si="0"/>
        <v>820</v>
      </c>
    </row>
    <row r="15" spans="1:6" ht="15.75">
      <c r="A15" s="73">
        <v>13</v>
      </c>
      <c r="B15" s="73" t="s">
        <v>425</v>
      </c>
      <c r="C15" s="74">
        <v>59</v>
      </c>
      <c r="D15" s="74">
        <v>129</v>
      </c>
      <c r="E15" s="74">
        <v>665</v>
      </c>
      <c r="F15" s="75">
        <f t="shared" si="0"/>
        <v>853</v>
      </c>
    </row>
    <row r="16" spans="1:6" ht="15.75">
      <c r="A16" s="73">
        <v>14</v>
      </c>
      <c r="B16" s="73" t="s">
        <v>419</v>
      </c>
      <c r="C16" s="74">
        <v>89</v>
      </c>
      <c r="D16" s="74">
        <v>250</v>
      </c>
      <c r="E16" s="74">
        <v>971</v>
      </c>
      <c r="F16" s="75">
        <f t="shared" si="0"/>
        <v>1310</v>
      </c>
    </row>
    <row r="17" spans="1:6" ht="15.75">
      <c r="A17" s="73">
        <v>15</v>
      </c>
      <c r="B17" s="73" t="s">
        <v>417</v>
      </c>
      <c r="C17" s="74">
        <v>82</v>
      </c>
      <c r="D17" s="74">
        <v>103</v>
      </c>
      <c r="E17" s="74">
        <v>508</v>
      </c>
      <c r="F17" s="75">
        <f t="shared" si="0"/>
        <v>693</v>
      </c>
    </row>
    <row r="18" spans="1:6" ht="15.75">
      <c r="A18" s="73">
        <v>16</v>
      </c>
      <c r="B18" s="73" t="s">
        <v>426</v>
      </c>
      <c r="C18" s="74">
        <v>36</v>
      </c>
      <c r="D18" s="74">
        <v>164</v>
      </c>
      <c r="E18" s="74">
        <v>389</v>
      </c>
      <c r="F18" s="75">
        <f t="shared" si="0"/>
        <v>589</v>
      </c>
    </row>
    <row r="19" spans="1:6" ht="15.75">
      <c r="A19" s="71" t="s">
        <v>531</v>
      </c>
      <c r="B19" s="71"/>
      <c r="C19" s="75">
        <f>SUM(C3:C18)</f>
        <v>1198</v>
      </c>
      <c r="D19" s="75">
        <f t="shared" ref="D19:F19" si="1">SUM(D3:D18)</f>
        <v>2851</v>
      </c>
      <c r="E19" s="75">
        <f t="shared" si="1"/>
        <v>11423</v>
      </c>
      <c r="F19" s="75">
        <f t="shared" si="1"/>
        <v>15472</v>
      </c>
    </row>
  </sheetData>
  <mergeCells count="5">
    <mergeCell ref="A1:A2"/>
    <mergeCell ref="B1:B2"/>
    <mergeCell ref="C1:E1"/>
    <mergeCell ref="F1:F2"/>
    <mergeCell ref="A19:B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zoomScale="85" zoomScaleNormal="85" workbookViewId="0">
      <selection activeCell="C15" sqref="C15"/>
    </sheetView>
  </sheetViews>
  <sheetFormatPr defaultRowHeight="15"/>
  <cols>
    <col min="1" max="1" width="6.85546875" style="37" bestFit="1" customWidth="1"/>
    <col min="2" max="2" width="40.42578125" style="37" bestFit="1" customWidth="1"/>
    <col min="3" max="3" width="14.5703125" style="37" bestFit="1" customWidth="1"/>
    <col min="4" max="4" width="31.42578125" style="37" bestFit="1" customWidth="1"/>
    <col min="5" max="5" width="15.140625" style="37" bestFit="1" customWidth="1"/>
    <col min="6" max="6" width="11.42578125" style="37" bestFit="1" customWidth="1"/>
    <col min="7" max="7" width="10.28515625" style="37" bestFit="1" customWidth="1"/>
    <col min="8" max="8" width="7.42578125" style="37" bestFit="1" customWidth="1"/>
    <col min="9" max="9" width="9.28515625" style="37" bestFit="1" customWidth="1"/>
    <col min="10" max="10" width="6" style="37" bestFit="1" customWidth="1"/>
    <col min="11" max="11" width="7.140625" style="37" bestFit="1" customWidth="1"/>
    <col min="12" max="12" width="22" style="37" bestFit="1" customWidth="1"/>
    <col min="13" max="16384" width="9.140625" style="37"/>
  </cols>
  <sheetData>
    <row r="1" spans="1:12">
      <c r="A1" s="36" t="s">
        <v>315</v>
      </c>
      <c r="B1" s="36" t="s">
        <v>263</v>
      </c>
      <c r="C1" s="36" t="s">
        <v>438</v>
      </c>
      <c r="D1" s="36" t="s">
        <v>263</v>
      </c>
      <c r="E1" s="36" t="s">
        <v>265</v>
      </c>
      <c r="F1" s="36" t="s">
        <v>316</v>
      </c>
      <c r="G1" s="36" t="s">
        <v>409</v>
      </c>
      <c r="H1" s="36" t="s">
        <v>410</v>
      </c>
      <c r="I1" s="36" t="s">
        <v>436</v>
      </c>
      <c r="J1" s="36" t="s">
        <v>437</v>
      </c>
      <c r="K1" s="36" t="s">
        <v>500</v>
      </c>
      <c r="L1" s="36"/>
    </row>
    <row r="2" spans="1:12" s="40" customFormat="1">
      <c r="A2" s="36">
        <v>1</v>
      </c>
      <c r="B2" s="13" t="s">
        <v>260</v>
      </c>
      <c r="C2" s="13" t="s">
        <v>391</v>
      </c>
      <c r="D2" s="13" t="s">
        <v>266</v>
      </c>
      <c r="E2" s="15" t="s">
        <v>267</v>
      </c>
      <c r="F2" s="38">
        <v>45930</v>
      </c>
      <c r="G2" s="13" t="s">
        <v>411</v>
      </c>
      <c r="H2" s="13" t="s">
        <v>411</v>
      </c>
      <c r="I2" s="39" t="s">
        <v>411</v>
      </c>
      <c r="J2" s="39" t="s">
        <v>411</v>
      </c>
      <c r="K2" s="39" t="s">
        <v>501</v>
      </c>
      <c r="L2" s="39" t="s">
        <v>502</v>
      </c>
    </row>
    <row r="3" spans="1:12" s="40" customFormat="1">
      <c r="A3" s="36">
        <v>2</v>
      </c>
      <c r="B3" s="13" t="s">
        <v>261</v>
      </c>
      <c r="C3" s="13" t="s">
        <v>392</v>
      </c>
      <c r="D3" s="13" t="s">
        <v>268</v>
      </c>
      <c r="E3" s="15" t="s">
        <v>269</v>
      </c>
      <c r="F3" s="38">
        <v>45950</v>
      </c>
      <c r="G3" s="13" t="s">
        <v>411</v>
      </c>
      <c r="H3" s="13" t="s">
        <v>411</v>
      </c>
      <c r="I3" s="13" t="s">
        <v>411</v>
      </c>
      <c r="J3" s="13" t="s">
        <v>411</v>
      </c>
      <c r="K3" s="39" t="s">
        <v>503</v>
      </c>
      <c r="L3" s="36"/>
    </row>
    <row r="4" spans="1:12" s="40" customFormat="1">
      <c r="A4" s="36">
        <v>3</v>
      </c>
      <c r="B4" s="13" t="s">
        <v>262</v>
      </c>
      <c r="C4" s="13" t="s">
        <v>393</v>
      </c>
      <c r="D4" s="13" t="s">
        <v>270</v>
      </c>
      <c r="E4" s="15" t="s">
        <v>271</v>
      </c>
      <c r="F4" s="38">
        <v>45951</v>
      </c>
      <c r="G4" s="13" t="s">
        <v>411</v>
      </c>
      <c r="H4" s="13" t="s">
        <v>411</v>
      </c>
      <c r="I4" s="13" t="s">
        <v>411</v>
      </c>
      <c r="J4" s="13" t="s">
        <v>411</v>
      </c>
      <c r="K4" s="39" t="s">
        <v>503</v>
      </c>
      <c r="L4" s="39" t="s">
        <v>504</v>
      </c>
    </row>
    <row r="5" spans="1:12" s="40" customFormat="1">
      <c r="A5" s="36">
        <v>4</v>
      </c>
      <c r="B5" s="13" t="s">
        <v>264</v>
      </c>
      <c r="C5" s="13" t="s">
        <v>350</v>
      </c>
      <c r="D5" s="13" t="s">
        <v>272</v>
      </c>
      <c r="E5" s="15" t="s">
        <v>273</v>
      </c>
      <c r="F5" s="38">
        <v>45980</v>
      </c>
      <c r="G5" s="13" t="s">
        <v>411</v>
      </c>
      <c r="H5" s="13" t="s">
        <v>411</v>
      </c>
      <c r="I5" s="39" t="s">
        <v>505</v>
      </c>
      <c r="J5" s="36" t="s">
        <v>411</v>
      </c>
      <c r="K5" s="39" t="s">
        <v>501</v>
      </c>
      <c r="L5" s="36"/>
    </row>
    <row r="6" spans="1:12" s="40" customFormat="1">
      <c r="A6" s="36">
        <v>21</v>
      </c>
      <c r="B6" s="13" t="s">
        <v>508</v>
      </c>
      <c r="C6" s="36" t="s">
        <v>511</v>
      </c>
      <c r="D6" s="36"/>
      <c r="E6" s="36"/>
      <c r="F6" s="38">
        <v>46055</v>
      </c>
      <c r="G6" s="36"/>
      <c r="H6" s="36"/>
      <c r="I6" s="36"/>
      <c r="J6" s="36"/>
      <c r="K6" s="36" t="s">
        <v>501</v>
      </c>
      <c r="L6" s="36"/>
    </row>
    <row r="7" spans="1:12" s="40" customFormat="1">
      <c r="A7" s="36">
        <v>5</v>
      </c>
      <c r="B7" s="13" t="s">
        <v>274</v>
      </c>
      <c r="C7" s="13" t="s">
        <v>394</v>
      </c>
      <c r="D7" s="13" t="s">
        <v>288</v>
      </c>
      <c r="E7" s="15" t="s">
        <v>301</v>
      </c>
      <c r="F7" s="38">
        <v>45888</v>
      </c>
      <c r="G7" s="13" t="s">
        <v>411</v>
      </c>
      <c r="H7" s="13" t="s">
        <v>411</v>
      </c>
      <c r="I7" s="13" t="s">
        <v>411</v>
      </c>
      <c r="J7" s="13" t="s">
        <v>411</v>
      </c>
      <c r="K7" s="39" t="s">
        <v>501</v>
      </c>
      <c r="L7" s="36"/>
    </row>
    <row r="8" spans="1:12" s="40" customFormat="1">
      <c r="A8" s="36">
        <v>20</v>
      </c>
      <c r="B8" s="13" t="s">
        <v>507</v>
      </c>
      <c r="C8" s="36" t="s">
        <v>510</v>
      </c>
      <c r="D8" s="36"/>
      <c r="E8" s="36"/>
      <c r="F8" s="43">
        <v>46062</v>
      </c>
      <c r="G8" s="36"/>
      <c r="H8" s="36"/>
      <c r="I8" s="36"/>
      <c r="J8" s="36"/>
      <c r="K8" s="36" t="s">
        <v>503</v>
      </c>
      <c r="L8" s="36"/>
    </row>
    <row r="9" spans="1:12" s="40" customFormat="1">
      <c r="A9" s="36">
        <v>6</v>
      </c>
      <c r="B9" s="13" t="s">
        <v>281</v>
      </c>
      <c r="C9" s="13" t="s">
        <v>395</v>
      </c>
      <c r="D9" s="13" t="s">
        <v>295</v>
      </c>
      <c r="E9" s="15" t="s">
        <v>308</v>
      </c>
      <c r="F9" s="38">
        <v>45873</v>
      </c>
      <c r="G9" s="13" t="s">
        <v>411</v>
      </c>
      <c r="H9" s="13" t="s">
        <v>411</v>
      </c>
      <c r="I9" s="13" t="s">
        <v>411</v>
      </c>
      <c r="J9" s="13" t="s">
        <v>411</v>
      </c>
      <c r="K9" s="39" t="s">
        <v>501</v>
      </c>
      <c r="L9" s="36"/>
    </row>
    <row r="10" spans="1:12">
      <c r="A10" s="36">
        <v>7</v>
      </c>
      <c r="B10" s="13" t="s">
        <v>279</v>
      </c>
      <c r="C10" s="13" t="s">
        <v>396</v>
      </c>
      <c r="D10" s="13" t="s">
        <v>293</v>
      </c>
      <c r="E10" s="15" t="s">
        <v>306</v>
      </c>
      <c r="F10" s="38">
        <v>45866</v>
      </c>
      <c r="G10" s="36" t="s">
        <v>411</v>
      </c>
      <c r="H10" s="36" t="s">
        <v>411</v>
      </c>
      <c r="I10" s="36" t="s">
        <v>411</v>
      </c>
      <c r="J10" s="36" t="s">
        <v>411</v>
      </c>
      <c r="K10" s="39" t="s">
        <v>501</v>
      </c>
      <c r="L10" s="36"/>
    </row>
    <row r="11" spans="1:12" s="40" customFormat="1">
      <c r="A11" s="36">
        <v>8</v>
      </c>
      <c r="B11" s="13" t="s">
        <v>280</v>
      </c>
      <c r="C11" s="13" t="s">
        <v>397</v>
      </c>
      <c r="D11" s="13" t="s">
        <v>294</v>
      </c>
      <c r="E11" s="15" t="s">
        <v>307</v>
      </c>
      <c r="F11" s="38">
        <v>45888</v>
      </c>
      <c r="G11" s="13" t="s">
        <v>411</v>
      </c>
      <c r="H11" s="13" t="s">
        <v>411</v>
      </c>
      <c r="I11" s="13" t="s">
        <v>411</v>
      </c>
      <c r="J11" s="13" t="s">
        <v>411</v>
      </c>
      <c r="K11" s="39" t="s">
        <v>501</v>
      </c>
      <c r="L11" s="36"/>
    </row>
    <row r="12" spans="1:12" s="40" customFormat="1">
      <c r="A12" s="36">
        <v>9</v>
      </c>
      <c r="B12" s="13" t="s">
        <v>275</v>
      </c>
      <c r="C12" s="13" t="s">
        <v>398</v>
      </c>
      <c r="D12" s="13" t="s">
        <v>289</v>
      </c>
      <c r="E12" s="15" t="s">
        <v>302</v>
      </c>
      <c r="F12" s="38">
        <v>45894</v>
      </c>
      <c r="G12" s="13" t="s">
        <v>411</v>
      </c>
      <c r="H12" s="13" t="s">
        <v>411</v>
      </c>
      <c r="I12" s="36" t="s">
        <v>411</v>
      </c>
      <c r="J12" s="36" t="s">
        <v>411</v>
      </c>
      <c r="K12" s="36" t="s">
        <v>501</v>
      </c>
      <c r="L12" s="36"/>
    </row>
    <row r="13" spans="1:12" s="40" customFormat="1">
      <c r="A13" s="36">
        <v>10</v>
      </c>
      <c r="B13" s="13" t="s">
        <v>276</v>
      </c>
      <c r="C13" s="13" t="s">
        <v>399</v>
      </c>
      <c r="D13" s="13" t="s">
        <v>290</v>
      </c>
      <c r="E13" s="15" t="s">
        <v>303</v>
      </c>
      <c r="F13" s="38">
        <v>45796</v>
      </c>
      <c r="G13" s="13" t="s">
        <v>411</v>
      </c>
      <c r="H13" s="13" t="s">
        <v>411</v>
      </c>
      <c r="I13" s="13" t="s">
        <v>411</v>
      </c>
      <c r="J13" s="13" t="s">
        <v>411</v>
      </c>
      <c r="K13" s="39" t="s">
        <v>503</v>
      </c>
      <c r="L13" s="36"/>
    </row>
    <row r="14" spans="1:12" s="40" customFormat="1">
      <c r="A14" s="36">
        <v>11</v>
      </c>
      <c r="B14" s="13" t="s">
        <v>277</v>
      </c>
      <c r="C14" s="13" t="s">
        <v>400</v>
      </c>
      <c r="D14" s="13" t="s">
        <v>291</v>
      </c>
      <c r="E14" s="15" t="s">
        <v>304</v>
      </c>
      <c r="F14" s="38">
        <v>45936</v>
      </c>
      <c r="G14" s="13" t="s">
        <v>411</v>
      </c>
      <c r="H14" s="13" t="s">
        <v>411</v>
      </c>
      <c r="I14" s="13" t="s">
        <v>411</v>
      </c>
      <c r="J14" s="13" t="s">
        <v>411</v>
      </c>
      <c r="K14" s="39" t="s">
        <v>503</v>
      </c>
      <c r="L14" s="36"/>
    </row>
    <row r="15" spans="1:12" s="40" customFormat="1">
      <c r="A15" s="36">
        <v>12</v>
      </c>
      <c r="B15" s="13" t="s">
        <v>387</v>
      </c>
      <c r="C15" s="13" t="s">
        <v>401</v>
      </c>
      <c r="D15" s="13" t="s">
        <v>388</v>
      </c>
      <c r="E15" s="15" t="s">
        <v>390</v>
      </c>
      <c r="F15" s="38">
        <v>45992</v>
      </c>
      <c r="G15" s="13" t="s">
        <v>411</v>
      </c>
      <c r="H15" s="13" t="s">
        <v>411</v>
      </c>
      <c r="I15" s="39" t="s">
        <v>505</v>
      </c>
      <c r="J15" s="36" t="s">
        <v>411</v>
      </c>
      <c r="K15" s="39" t="s">
        <v>501</v>
      </c>
      <c r="L15" s="36"/>
    </row>
    <row r="16" spans="1:12" s="40" customFormat="1">
      <c r="A16" s="36">
        <v>13</v>
      </c>
      <c r="B16" s="13" t="s">
        <v>283</v>
      </c>
      <c r="C16" s="13" t="s">
        <v>402</v>
      </c>
      <c r="D16" s="13" t="s">
        <v>297</v>
      </c>
      <c r="E16" s="15" t="s">
        <v>310</v>
      </c>
      <c r="F16" s="38">
        <v>45671</v>
      </c>
      <c r="G16" s="13" t="s">
        <v>411</v>
      </c>
      <c r="H16" s="13" t="s">
        <v>411</v>
      </c>
      <c r="I16" s="13" t="s">
        <v>411</v>
      </c>
      <c r="J16" s="13" t="s">
        <v>411</v>
      </c>
      <c r="K16" s="39" t="s">
        <v>501</v>
      </c>
      <c r="L16" s="36"/>
    </row>
    <row r="17" spans="1:12" s="40" customFormat="1">
      <c r="A17" s="36">
        <v>14</v>
      </c>
      <c r="B17" s="13" t="s">
        <v>282</v>
      </c>
      <c r="C17" s="13" t="s">
        <v>403</v>
      </c>
      <c r="D17" s="13" t="s">
        <v>296</v>
      </c>
      <c r="E17" s="15" t="s">
        <v>309</v>
      </c>
      <c r="F17" s="38">
        <v>45796</v>
      </c>
      <c r="G17" s="13" t="s">
        <v>411</v>
      </c>
      <c r="H17" s="13" t="s">
        <v>411</v>
      </c>
      <c r="I17" s="13" t="s">
        <v>411</v>
      </c>
      <c r="J17" s="13" t="s">
        <v>411</v>
      </c>
      <c r="K17" s="36" t="s">
        <v>501</v>
      </c>
      <c r="L17" s="36"/>
    </row>
    <row r="18" spans="1:12" s="40" customFormat="1">
      <c r="A18" s="36">
        <v>15</v>
      </c>
      <c r="B18" s="13" t="s">
        <v>285</v>
      </c>
      <c r="C18" s="13" t="s">
        <v>404</v>
      </c>
      <c r="D18" s="13" t="s">
        <v>389</v>
      </c>
      <c r="E18" s="15" t="s">
        <v>312</v>
      </c>
      <c r="F18" s="38">
        <v>45922</v>
      </c>
      <c r="G18" s="13" t="s">
        <v>411</v>
      </c>
      <c r="H18" s="13" t="s">
        <v>411</v>
      </c>
      <c r="I18" s="36" t="s">
        <v>411</v>
      </c>
      <c r="J18" s="36" t="s">
        <v>411</v>
      </c>
      <c r="K18" s="36" t="s">
        <v>501</v>
      </c>
      <c r="L18" s="36"/>
    </row>
    <row r="19" spans="1:12" s="40" customFormat="1" ht="14.25" customHeight="1">
      <c r="A19" s="36">
        <v>16</v>
      </c>
      <c r="B19" s="13" t="s">
        <v>284</v>
      </c>
      <c r="C19" s="13" t="s">
        <v>405</v>
      </c>
      <c r="D19" s="13" t="s">
        <v>298</v>
      </c>
      <c r="E19" s="15" t="s">
        <v>311</v>
      </c>
      <c r="F19" s="38">
        <v>45922</v>
      </c>
      <c r="G19" s="13" t="s">
        <v>411</v>
      </c>
      <c r="H19" s="13" t="s">
        <v>411</v>
      </c>
      <c r="I19" s="13" t="s">
        <v>411</v>
      </c>
      <c r="J19" s="13" t="s">
        <v>411</v>
      </c>
      <c r="K19" s="39" t="s">
        <v>501</v>
      </c>
      <c r="L19" s="36"/>
    </row>
    <row r="20" spans="1:12">
      <c r="A20" s="36">
        <v>17</v>
      </c>
      <c r="B20" s="13" t="s">
        <v>278</v>
      </c>
      <c r="C20" s="13" t="s">
        <v>406</v>
      </c>
      <c r="D20" s="13" t="s">
        <v>292</v>
      </c>
      <c r="E20" s="15" t="s">
        <v>305</v>
      </c>
      <c r="F20" s="38">
        <v>45894</v>
      </c>
      <c r="G20" s="36" t="s">
        <v>411</v>
      </c>
      <c r="H20" s="36" t="s">
        <v>411</v>
      </c>
      <c r="I20" s="36" t="s">
        <v>411</v>
      </c>
      <c r="J20" s="36" t="s">
        <v>411</v>
      </c>
      <c r="K20" s="39" t="s">
        <v>503</v>
      </c>
      <c r="L20" s="36"/>
    </row>
    <row r="21" spans="1:12">
      <c r="A21" s="36">
        <v>18</v>
      </c>
      <c r="B21" s="13" t="s">
        <v>286</v>
      </c>
      <c r="C21" s="13" t="s">
        <v>407</v>
      </c>
      <c r="D21" s="13" t="s">
        <v>299</v>
      </c>
      <c r="E21" s="15" t="s">
        <v>313</v>
      </c>
      <c r="F21" s="38">
        <v>45916</v>
      </c>
      <c r="G21" s="13" t="s">
        <v>411</v>
      </c>
      <c r="H21" s="13" t="s">
        <v>411</v>
      </c>
      <c r="I21" s="13" t="s">
        <v>411</v>
      </c>
      <c r="J21" s="13" t="s">
        <v>411</v>
      </c>
      <c r="K21" s="39" t="s">
        <v>501</v>
      </c>
      <c r="L21" s="36"/>
    </row>
    <row r="22" spans="1:12">
      <c r="A22" s="36">
        <v>22</v>
      </c>
      <c r="B22" s="13" t="s">
        <v>509</v>
      </c>
      <c r="C22" s="36" t="s">
        <v>512</v>
      </c>
      <c r="D22" s="36"/>
      <c r="E22" s="36"/>
      <c r="F22" s="43">
        <v>46055</v>
      </c>
      <c r="G22" s="36"/>
      <c r="H22" s="36"/>
      <c r="I22" s="36"/>
      <c r="J22" s="36"/>
      <c r="K22" s="36" t="s">
        <v>503</v>
      </c>
      <c r="L22" s="36"/>
    </row>
    <row r="23" spans="1:12">
      <c r="A23" s="36">
        <v>19</v>
      </c>
      <c r="B23" s="13" t="s">
        <v>287</v>
      </c>
      <c r="C23" s="13" t="s">
        <v>408</v>
      </c>
      <c r="D23" s="13" t="s">
        <v>300</v>
      </c>
      <c r="E23" s="15" t="s">
        <v>314</v>
      </c>
      <c r="F23" s="38">
        <v>45888</v>
      </c>
      <c r="G23" s="13" t="s">
        <v>411</v>
      </c>
      <c r="H23" s="13" t="s">
        <v>411</v>
      </c>
      <c r="I23" s="13" t="s">
        <v>411</v>
      </c>
      <c r="J23" s="13" t="s">
        <v>411</v>
      </c>
      <c r="K23" s="33" t="s">
        <v>503</v>
      </c>
      <c r="L23" s="36"/>
    </row>
  </sheetData>
  <autoFilter ref="A1:L1">
    <sortState ref="A2:L23">
      <sortCondition ref="B1"/>
    </sortState>
  </autoFilter>
  <sortState ref="A2:F19">
    <sortCondition ref="F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FINAL</vt:lpstr>
      <vt:lpstr>PIVOT FINAL APRIL</vt:lpstr>
      <vt:lpstr>Edit SEKOLAH FINAL</vt:lpstr>
      <vt:lpstr>DATA B3</vt:lpstr>
      <vt:lpstr>List Dapur Karangtengah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wan10</dc:creator>
  <cp:lastModifiedBy>wan10</cp:lastModifiedBy>
  <cp:lastPrinted>2026-01-22T05:38:01Z</cp:lastPrinted>
  <dcterms:created xsi:type="dcterms:W3CDTF">2025-12-10T08:46:58Z</dcterms:created>
  <dcterms:modified xsi:type="dcterms:W3CDTF">2026-04-24T00:46:20Z</dcterms:modified>
</cp:coreProperties>
</file>